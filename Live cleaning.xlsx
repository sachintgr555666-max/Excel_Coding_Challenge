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xr:revisionPtr revIDLastSave="0" documentId="13_ncr:1_{52527477-8E67-4CC4-949F-42AC1D89F09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riginal" sheetId="1" r:id="rId1"/>
    <sheet name="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" l="1"/>
  <c r="I58" i="2"/>
  <c r="I57" i="2"/>
  <c r="I55" i="2"/>
  <c r="I54" i="2"/>
  <c r="I53" i="2"/>
  <c r="I52" i="2"/>
  <c r="I51" i="2"/>
  <c r="I50" i="2"/>
  <c r="I49" i="2"/>
  <c r="I47" i="2"/>
  <c r="I46" i="2"/>
  <c r="I45" i="2"/>
  <c r="I44" i="2"/>
  <c r="I43" i="2"/>
  <c r="I42" i="2"/>
  <c r="I41" i="2"/>
  <c r="I40" i="2"/>
  <c r="I39" i="2"/>
  <c r="I38" i="2"/>
  <c r="I37" i="2"/>
  <c r="I35" i="2"/>
  <c r="I34" i="2"/>
  <c r="I33" i="2"/>
  <c r="I32" i="2"/>
  <c r="I31" i="2"/>
  <c r="I30" i="2"/>
  <c r="I29" i="2"/>
  <c r="I28" i="2"/>
  <c r="I27" i="2"/>
  <c r="I26" i="2"/>
  <c r="I25" i="2"/>
  <c r="I24" i="2"/>
  <c r="I22" i="2"/>
  <c r="I21" i="2"/>
  <c r="I20" i="2"/>
  <c r="I19" i="2"/>
  <c r="I18" i="2"/>
  <c r="I17" i="2"/>
  <c r="I16" i="2"/>
  <c r="I15" i="2"/>
  <c r="I14" i="2"/>
  <c r="I12" i="2"/>
  <c r="I11" i="2"/>
  <c r="I10" i="2"/>
  <c r="I9" i="2"/>
  <c r="I8" i="2"/>
  <c r="I7" i="2"/>
  <c r="I5" i="2"/>
  <c r="I4" i="2"/>
  <c r="I3" i="2"/>
  <c r="I2" i="2"/>
  <c r="I3" i="1" l="1"/>
  <c r="I4" i="1"/>
  <c r="I5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7" i="1"/>
  <c r="I58" i="1"/>
  <c r="I59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tudents_Table" description="Connection to the 'Students_Table' query in the workbook." type="5" refreshedVersion="0" background="1" saveData="1">
    <dbPr connection="Provider=Microsoft.Mashup.OleDb.1;Data Source=$Workbook$;Location=Students_Table;Extended Properties=&quot;&quot;" command="SELECT * FROM [Students_Table]"/>
  </connection>
</connections>
</file>

<file path=xl/sharedStrings.xml><?xml version="1.0" encoding="utf-8"?>
<sst xmlns="http://schemas.openxmlformats.org/spreadsheetml/2006/main" count="590" uniqueCount="137">
  <si>
    <t>Student_ID</t>
  </si>
  <si>
    <t>Name</t>
  </si>
  <si>
    <t>Age</t>
  </si>
  <si>
    <t>Gender</t>
  </si>
  <si>
    <t>Department</t>
  </si>
  <si>
    <t>Attendance (%)</t>
  </si>
  <si>
    <t>Average_Marks</t>
  </si>
  <si>
    <t>Last_Exam_Date</t>
  </si>
  <si>
    <t>Remarks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</si>
  <si>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</si>
  <si>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</si>
  <si>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</si>
  <si>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</si>
  <si>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</si>
  <si>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</si>
  <si>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</si>
  <si>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</si>
  <si>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</si>
  <si>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</si>
  <si>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</si>
  <si>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</si>
  <si>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</si>
  <si>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</si>
  <si>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</si>
  <si>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</si>
  <si>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</si>
  <si>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</si>
  <si>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</si>
  <si>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</si>
  <si>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</si>
  <si>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</si>
  <si>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</si>
  <si>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</si>
  <si>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</si>
  <si>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</si>
  <si>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</si>
  <si>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</si>
  <si>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</si>
  <si>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</si>
  <si>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</si>
  <si>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</si>
  <si>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</si>
  <si>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</si>
  <si>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</si>
  <si>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</si>
  <si>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</si>
  <si>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</si>
  <si>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</si>
  <si>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</si>
  <si>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</si>
  <si>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</si>
  <si>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</si>
  <si>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</si>
  <si>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</si>
  <si>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</si>
  <si>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</si>
  <si>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</si>
  <si>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</si>
  <si>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</si>
  <si>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</si>
  <si>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</si>
  <si>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</si>
  <si>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</si>
  <si>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</si>
  <si>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Alice Johnson</t>
  </si>
  <si>
    <t>Bob Smith</t>
  </si>
  <si>
    <t>Carol Evans</t>
  </si>
  <si>
    <t>David Lee</t>
  </si>
  <si>
    <t>Eva Mendes</t>
  </si>
  <si>
    <t>Frank Wright</t>
  </si>
  <si>
    <t>Grace Kim</t>
  </si>
  <si>
    <t>Henry Ford</t>
  </si>
  <si>
    <t>Isla Moore</t>
  </si>
  <si>
    <t>Jack Black</t>
  </si>
  <si>
    <t>Karen Young</t>
  </si>
  <si>
    <t>Leo Brown</t>
  </si>
  <si>
    <t>Mia Davis</t>
  </si>
  <si>
    <t>Nina Patel</t>
  </si>
  <si>
    <t>Oscar White</t>
  </si>
  <si>
    <t>Pamela Green</t>
  </si>
  <si>
    <t>Quinn Hall</t>
  </si>
  <si>
    <t>Rita Clark</t>
  </si>
  <si>
    <t>Steve Lewis</t>
  </si>
  <si>
    <t>Tina Turner</t>
  </si>
  <si>
    <t>Uma Singh</t>
  </si>
  <si>
    <t>Vikram Shah</t>
  </si>
  <si>
    <t>Wendy Scott</t>
  </si>
  <si>
    <t>Xavier Hill</t>
  </si>
  <si>
    <t>Yara Ali</t>
  </si>
  <si>
    <t>Zane Carter</t>
  </si>
  <si>
    <t>Amy Roberts</t>
  </si>
  <si>
    <t>Brian King</t>
  </si>
  <si>
    <t>Clara Morris</t>
  </si>
  <si>
    <t>Derek Price</t>
  </si>
  <si>
    <t>Ella Brooks</t>
  </si>
  <si>
    <t>Fiona Fox</t>
  </si>
  <si>
    <t>George Hill</t>
  </si>
  <si>
    <t>Hannah Lee</t>
  </si>
  <si>
    <t>Ian Wright</t>
  </si>
  <si>
    <t>Jenna Cole</t>
  </si>
  <si>
    <t>Kyle Adams</t>
  </si>
  <si>
    <t>Lara Jones</t>
  </si>
  <si>
    <t>Matt Green</t>
  </si>
  <si>
    <t>Nora Bell</t>
  </si>
  <si>
    <t>Omar Ahmed</t>
  </si>
  <si>
    <t>Paula Rose</t>
  </si>
  <si>
    <t>Quincy Brown</t>
  </si>
  <si>
    <t>Rachel Cox</t>
  </si>
  <si>
    <t>Sam Fisher</t>
  </si>
  <si>
    <t>Tara Evans</t>
  </si>
  <si>
    <t>Umar Khan</t>
  </si>
  <si>
    <t>Vera Long</t>
  </si>
  <si>
    <t>Will Baker</t>
  </si>
  <si>
    <t>Zara Malik</t>
  </si>
  <si>
    <t>Twenty-One</t>
  </si>
  <si>
    <t>male</t>
  </si>
  <si>
    <t>Female</t>
  </si>
  <si>
    <t>Male</t>
  </si>
  <si>
    <t>female</t>
  </si>
  <si>
    <t>ECE</t>
  </si>
  <si>
    <t>Mechanical</t>
  </si>
  <si>
    <t>IT</t>
  </si>
  <si>
    <t>Computer Sci</t>
  </si>
  <si>
    <t>Eighty-Five</t>
  </si>
  <si>
    <t>2024-03-28</t>
  </si>
  <si>
    <t>2024-03-15</t>
  </si>
  <si>
    <t>2024-03-25</t>
  </si>
  <si>
    <t>2024-03-12</t>
  </si>
  <si>
    <t>2024-03-22</t>
  </si>
  <si>
    <t>2024-03-20</t>
  </si>
  <si>
    <t>2024-03-18</t>
  </si>
  <si>
    <t>2024-03-26</t>
  </si>
  <si>
    <t>2024-03-19</t>
  </si>
  <si>
    <t>Poor</t>
  </si>
  <si>
    <t>Excellent</t>
  </si>
  <si>
    <t>Needs Improvement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</si>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</sst>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Segoe UI Semibold"/>
      <family val="2"/>
    </font>
    <font>
      <sz val="11"/>
      <color theme="1"/>
      <name val="Segoe UI Semibold"/>
      <family val="2"/>
    </font>
    <font>
      <b/>
      <sz val="11"/>
      <color rgb="FFFF0000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49" fontId="0" fillId="0" borderId="0" xfId="0" applyNumberFormat="1"/>
    <xf numFmtId="0" fontId="2" fillId="3" borderId="3" xfId="0" applyFont="1" applyFill="1" applyBorder="1"/>
    <xf numFmtId="0" fontId="2" fillId="3" borderId="9" xfId="0" applyFont="1" applyFill="1" applyBorder="1"/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0" fontId="2" fillId="0" borderId="2" xfId="0" applyFont="1" applyBorder="1"/>
    <xf numFmtId="0" fontId="2" fillId="0" borderId="1" xfId="0" applyFont="1" applyBorder="1"/>
    <xf numFmtId="49" fontId="2" fillId="0" borderId="3" xfId="0" applyNumberFormat="1" applyFont="1" applyBorder="1"/>
    <xf numFmtId="0" fontId="2" fillId="0" borderId="7" xfId="0" applyFont="1" applyBorder="1"/>
    <xf numFmtId="0" fontId="2" fillId="0" borderId="8" xfId="0" applyFont="1" applyBorder="1"/>
    <xf numFmtId="49" fontId="2" fillId="0" borderId="9" xfId="0" applyNumberFormat="1" applyFont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scheme val="none"/>
      </font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Segoe UI Semibold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59" totalsRowShown="0" headerRowDxfId="27" dataDxfId="25" headerRowBorderDxfId="26" tableBorderDxfId="24" totalsRowBorderDxfId="23">
  <autoFilter ref="A1:I59" xr:uid="{00000000-0009-0000-0100-000002000000}"/>
  <tableColumns count="9">
    <tableColumn id="1" xr3:uid="{00000000-0010-0000-0000-000001000000}" name="Student_ID" dataDxfId="22"/>
    <tableColumn id="2" xr3:uid="{00000000-0010-0000-0000-000002000000}" name="Name" dataDxfId="21"/>
    <tableColumn id="3" xr3:uid="{00000000-0010-0000-0000-000003000000}" name="Age" dataDxfId="20"/>
    <tableColumn id="4" xr3:uid="{00000000-0010-0000-0000-000004000000}" name="Gender" dataDxfId="19"/>
    <tableColumn id="5" xr3:uid="{00000000-0010-0000-0000-000005000000}" name="Department" dataDxfId="18"/>
    <tableColumn id="6" xr3:uid="{00000000-0010-0000-0000-000006000000}" name="Attendance (%)" dataDxfId="17"/>
    <tableColumn id="7" xr3:uid="{00000000-0010-0000-0000-000007000000}" name="Average_Marks" dataDxfId="16"/>
    <tableColumn id="8" xr3:uid="{00000000-0010-0000-0000-000008000000}" name="Last_Exam_Date" dataDxfId="15"/>
    <tableColumn id="9" xr3:uid="{00000000-0010-0000-0000-000009000000}" name="Remarks" dataDxfId="14">
      <calculatedColumnFormula>IF(G2&gt;90,"Excellent",IF(G2&gt;80,"Good",IF(G2&gt;70,"Average",IF(G2&gt;60,"Needs Improvement","Poor"))))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59" totalsRowShown="0" headerRowDxfId="13" dataDxfId="11" headerRowBorderDxfId="12" tableBorderDxfId="10" totalsRowBorderDxfId="9">
  <autoFilter ref="A1:I59" xr:uid="{00000000-0009-0000-0100-000001000000}"/>
  <tableColumns count="9">
    <tableColumn id="1" xr3:uid="{00000000-0010-0000-0100-000001000000}" name="Student_ID" dataDxfId="8"/>
    <tableColumn id="2" xr3:uid="{00000000-0010-0000-0100-000002000000}" name="Name" dataDxfId="7"/>
    <tableColumn id="3" xr3:uid="{00000000-0010-0000-0100-000003000000}" name="Age" dataDxfId="6"/>
    <tableColumn id="4" xr3:uid="{00000000-0010-0000-0100-000004000000}" name="Gender" dataDxfId="5"/>
    <tableColumn id="5" xr3:uid="{00000000-0010-0000-0100-000005000000}" name="Department" dataDxfId="4"/>
    <tableColumn id="6" xr3:uid="{00000000-0010-0000-0100-000006000000}" name="Attendance (%)" dataDxfId="3"/>
    <tableColumn id="7" xr3:uid="{00000000-0010-0000-0100-000007000000}" name="Average_Marks" dataDxfId="2"/>
    <tableColumn id="8" xr3:uid="{00000000-0010-0000-0100-000008000000}" name="Last_Exam_Date" dataDxfId="1"/>
    <tableColumn id="9" xr3:uid="{00000000-0010-0000-0100-000009000000}" name="Remarks" dataDxfId="0">
      <calculatedColumnFormula>IF(G2&gt;90,"Excellent",IF(G2&gt;80,"Good",IF(G2&gt;70,"Average",IF(G2&gt;60,"Needs Improvement","Poor"))))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workbookViewId="0">
      <selection activeCell="F13" sqref="F13"/>
    </sheetView>
  </sheetViews>
  <sheetFormatPr defaultRowHeight="15" x14ac:dyDescent="0.25"/>
  <cols>
    <col min="1" max="1" width="13.140625" customWidth="1"/>
    <col min="2" max="2" width="14.140625" bestFit="1" customWidth="1"/>
    <col min="3" max="3" width="12.42578125" bestFit="1" customWidth="1"/>
    <col min="4" max="4" width="9.7109375" customWidth="1"/>
    <col min="5" max="5" width="14.140625" customWidth="1"/>
    <col min="6" max="6" width="17.140625" customWidth="1"/>
    <col min="7" max="7" width="16.7109375" customWidth="1"/>
    <col min="8" max="8" width="17.28515625" customWidth="1"/>
    <col min="9" max="9" width="20.28515625" bestFit="1" customWidth="1"/>
    <col min="10" max="10" width="17.7109375" bestFit="1" customWidth="1"/>
  </cols>
  <sheetData>
    <row r="1" spans="1:9" ht="16.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ht="16.5" x14ac:dyDescent="0.3">
      <c r="A2" s="2" t="s">
        <v>9</v>
      </c>
      <c r="B2" s="1" t="s">
        <v>64</v>
      </c>
      <c r="C2" s="1">
        <v>19</v>
      </c>
      <c r="D2" s="1" t="s">
        <v>115</v>
      </c>
      <c r="E2" s="1" t="s">
        <v>119</v>
      </c>
      <c r="F2" s="1">
        <v>74</v>
      </c>
      <c r="G2" s="1">
        <v>68</v>
      </c>
      <c r="H2" s="1"/>
      <c r="I2" s="6" t="str">
        <f>IF(G2&gt;90,"Excellent",IF(G2&gt;80,"Good",IF(G2&gt;70,"Average",IF(G2&gt;60,"Needs Improvement","Poor"))))</f>
        <v>Needs Improvement</v>
      </c>
    </row>
    <row r="3" spans="1:9" ht="16.5" x14ac:dyDescent="0.3">
      <c r="A3" s="2" t="s">
        <v>10</v>
      </c>
      <c r="B3" s="1" t="s">
        <v>65</v>
      </c>
      <c r="C3" s="1"/>
      <c r="D3" s="1" t="s">
        <v>116</v>
      </c>
      <c r="E3" s="1" t="s">
        <v>120</v>
      </c>
      <c r="F3" s="1">
        <v>60</v>
      </c>
      <c r="G3" s="1"/>
      <c r="H3" s="1" t="s">
        <v>124</v>
      </c>
      <c r="I3" s="6" t="str">
        <f>IF(G3&gt;90,"Excellent",IF(G3&gt;80,"Good",IF(G3&gt;70,"Average",IF(G3&gt;60,"Needs Improvement","Poor"))))</f>
        <v>Poor</v>
      </c>
    </row>
    <row r="4" spans="1:9" ht="16.5" x14ac:dyDescent="0.3">
      <c r="A4" s="2" t="s">
        <v>11</v>
      </c>
      <c r="B4" s="1" t="s">
        <v>66</v>
      </c>
      <c r="C4" s="1">
        <v>21</v>
      </c>
      <c r="D4" s="1" t="s">
        <v>117</v>
      </c>
      <c r="E4" s="1" t="s">
        <v>119</v>
      </c>
      <c r="F4" s="1">
        <v>69</v>
      </c>
      <c r="G4" s="1">
        <v>81</v>
      </c>
      <c r="H4" s="1"/>
      <c r="I4" s="6" t="str">
        <f>IF(G4&gt;90,"Excellent",IF(G4&gt;80,"Good",IF(G4&gt;70,"Average",IF(G4&gt;60,"Needs Improvement","Poor"))))</f>
        <v>Good</v>
      </c>
    </row>
    <row r="5" spans="1:9" ht="16.5" x14ac:dyDescent="0.3">
      <c r="A5" s="2" t="s">
        <v>12</v>
      </c>
      <c r="B5" s="1" t="s">
        <v>67</v>
      </c>
      <c r="C5" s="1" t="s">
        <v>114</v>
      </c>
      <c r="D5" s="1"/>
      <c r="E5" s="1" t="s">
        <v>119</v>
      </c>
      <c r="F5" s="1">
        <v>76</v>
      </c>
      <c r="G5" s="1">
        <v>62</v>
      </c>
      <c r="H5" s="1" t="s">
        <v>125</v>
      </c>
      <c r="I5" s="6" t="str">
        <f>IF(G5&gt;90,"Excellent",IF(G5&gt;80,"Good",IF(G5&gt;70,"Average",IF(G5&gt;60,"Needs Improvement","Poor"))))</f>
        <v>Needs Improvement</v>
      </c>
    </row>
    <row r="6" spans="1:9" ht="16.5" x14ac:dyDescent="0.3">
      <c r="A6" s="2" t="s">
        <v>13</v>
      </c>
      <c r="B6" s="1" t="s">
        <v>68</v>
      </c>
      <c r="C6" s="1">
        <v>24</v>
      </c>
      <c r="D6" s="1"/>
      <c r="E6" s="1" t="s">
        <v>120</v>
      </c>
      <c r="F6" s="1">
        <v>86</v>
      </c>
      <c r="G6" s="1">
        <v>55</v>
      </c>
      <c r="H6" s="1" t="s">
        <v>126</v>
      </c>
      <c r="I6" s="6"/>
    </row>
    <row r="7" spans="1:9" ht="16.5" x14ac:dyDescent="0.3">
      <c r="A7" s="2" t="s">
        <v>14</v>
      </c>
      <c r="B7" s="1" t="s">
        <v>69</v>
      </c>
      <c r="C7" s="1">
        <v>25</v>
      </c>
      <c r="D7" s="1" t="s">
        <v>116</v>
      </c>
      <c r="E7" s="1" t="s">
        <v>121</v>
      </c>
      <c r="F7" s="1">
        <v>52</v>
      </c>
      <c r="G7" s="1">
        <v>58</v>
      </c>
      <c r="H7" s="1" t="s">
        <v>131</v>
      </c>
      <c r="I7" s="6" t="str">
        <f t="shared" ref="I7:I12" si="0">IF(G7&gt;90,"Excellent",IF(G7&gt;80,"Good",IF(G7&gt;70,"Average",IF(G7&gt;60,"Needs Improvement","Poor"))))</f>
        <v>Poor</v>
      </c>
    </row>
    <row r="8" spans="1:9" ht="16.5" x14ac:dyDescent="0.3">
      <c r="A8" s="2" t="s">
        <v>15</v>
      </c>
      <c r="B8" s="1" t="s">
        <v>70</v>
      </c>
      <c r="C8" s="1"/>
      <c r="D8" s="1" t="s">
        <v>116</v>
      </c>
      <c r="E8" s="1" t="s">
        <v>122</v>
      </c>
      <c r="F8" s="1">
        <v>92</v>
      </c>
      <c r="G8" s="1">
        <v>62</v>
      </c>
      <c r="H8" s="1" t="s">
        <v>125</v>
      </c>
      <c r="I8" s="6" t="str">
        <f t="shared" si="0"/>
        <v>Needs Improvement</v>
      </c>
    </row>
    <row r="9" spans="1:9" ht="16.5" x14ac:dyDescent="0.3">
      <c r="A9" s="2" t="s">
        <v>16</v>
      </c>
      <c r="B9" s="1" t="s">
        <v>71</v>
      </c>
      <c r="C9" s="1">
        <v>24</v>
      </c>
      <c r="D9" s="1" t="s">
        <v>115</v>
      </c>
      <c r="E9" s="1" t="s">
        <v>122</v>
      </c>
      <c r="F9" s="1">
        <v>83</v>
      </c>
      <c r="G9" s="1">
        <v>58</v>
      </c>
      <c r="H9" s="1" t="s">
        <v>127</v>
      </c>
      <c r="I9" s="6" t="str">
        <f t="shared" si="0"/>
        <v>Poor</v>
      </c>
    </row>
    <row r="10" spans="1:9" ht="16.5" x14ac:dyDescent="0.3">
      <c r="A10" s="2" t="s">
        <v>17</v>
      </c>
      <c r="B10" s="1" t="s">
        <v>72</v>
      </c>
      <c r="C10" s="1">
        <v>21</v>
      </c>
      <c r="D10" s="1" t="s">
        <v>118</v>
      </c>
      <c r="E10" s="1" t="s">
        <v>120</v>
      </c>
      <c r="F10" s="1">
        <v>54</v>
      </c>
      <c r="G10" s="1">
        <v>59</v>
      </c>
      <c r="H10" s="1" t="s">
        <v>126</v>
      </c>
      <c r="I10" s="6" t="str">
        <f t="shared" si="0"/>
        <v>Poor</v>
      </c>
    </row>
    <row r="11" spans="1:9" ht="16.5" x14ac:dyDescent="0.3">
      <c r="A11" s="2" t="s">
        <v>18</v>
      </c>
      <c r="B11" s="1" t="s">
        <v>73</v>
      </c>
      <c r="C11" s="1">
        <v>19</v>
      </c>
      <c r="D11" s="1" t="s">
        <v>116</v>
      </c>
      <c r="E11" s="1" t="s">
        <v>119</v>
      </c>
      <c r="F11" s="1">
        <v>95</v>
      </c>
      <c r="G11" s="1">
        <v>64</v>
      </c>
      <c r="H11" s="1" t="s">
        <v>128</v>
      </c>
      <c r="I11" s="6" t="str">
        <f t="shared" si="0"/>
        <v>Needs Improvement</v>
      </c>
    </row>
    <row r="12" spans="1:9" ht="16.5" x14ac:dyDescent="0.3">
      <c r="A12" s="2" t="s">
        <v>19</v>
      </c>
      <c r="B12" s="1" t="s">
        <v>74</v>
      </c>
      <c r="C12" s="1">
        <v>24</v>
      </c>
      <c r="D12" s="1" t="s">
        <v>117</v>
      </c>
      <c r="E12" s="1" t="s">
        <v>119</v>
      </c>
      <c r="F12" s="1" t="s">
        <v>123</v>
      </c>
      <c r="G12" s="1">
        <v>59</v>
      </c>
      <c r="H12" s="1" t="s">
        <v>124</v>
      </c>
      <c r="I12" s="6" t="str">
        <f t="shared" si="0"/>
        <v>Poor</v>
      </c>
    </row>
    <row r="13" spans="1:9" ht="16.5" x14ac:dyDescent="0.3">
      <c r="A13" s="2" t="s">
        <v>20</v>
      </c>
      <c r="B13" s="1" t="s">
        <v>75</v>
      </c>
      <c r="C13" s="1">
        <v>22</v>
      </c>
      <c r="D13" s="1" t="s">
        <v>118</v>
      </c>
      <c r="E13" s="1" t="s">
        <v>122</v>
      </c>
      <c r="F13" s="1">
        <v>53</v>
      </c>
      <c r="G13" s="1">
        <v>97</v>
      </c>
      <c r="H13" s="1" t="s">
        <v>125</v>
      </c>
      <c r="I13" s="6"/>
    </row>
    <row r="14" spans="1:9" ht="16.5" x14ac:dyDescent="0.3">
      <c r="A14" s="2" t="s">
        <v>21</v>
      </c>
      <c r="B14" s="1" t="s">
        <v>76</v>
      </c>
      <c r="C14" s="1">
        <v>21</v>
      </c>
      <c r="D14" s="1" t="s">
        <v>118</v>
      </c>
      <c r="E14" s="1" t="s">
        <v>122</v>
      </c>
      <c r="F14" s="1">
        <v>64</v>
      </c>
      <c r="G14" s="1">
        <v>54</v>
      </c>
      <c r="H14" s="1" t="s">
        <v>124</v>
      </c>
      <c r="I14" s="6" t="str">
        <f t="shared" ref="I14:I22" si="1">IF(G14&gt;90,"Excellent",IF(G14&gt;80,"Good",IF(G14&gt;70,"Average",IF(G14&gt;60,"Needs Improvement","Poor"))))</f>
        <v>Poor</v>
      </c>
    </row>
    <row r="15" spans="1:9" ht="16.5" x14ac:dyDescent="0.3">
      <c r="A15" s="2" t="s">
        <v>22</v>
      </c>
      <c r="B15" s="1" t="s">
        <v>77</v>
      </c>
      <c r="C15" s="1">
        <v>25</v>
      </c>
      <c r="D15" s="1" t="s">
        <v>118</v>
      </c>
      <c r="E15" s="1" t="s">
        <v>122</v>
      </c>
      <c r="F15" s="1">
        <v>92</v>
      </c>
      <c r="G15" s="1">
        <v>77</v>
      </c>
      <c r="H15" s="1" t="s">
        <v>125</v>
      </c>
      <c r="I15" s="6" t="str">
        <f t="shared" si="1"/>
        <v>Average</v>
      </c>
    </row>
    <row r="16" spans="1:9" ht="16.5" x14ac:dyDescent="0.3">
      <c r="A16" s="2" t="s">
        <v>23</v>
      </c>
      <c r="B16" s="1" t="s">
        <v>78</v>
      </c>
      <c r="C16" s="1">
        <v>19</v>
      </c>
      <c r="D16" s="1" t="s">
        <v>116</v>
      </c>
      <c r="E16" s="1" t="s">
        <v>121</v>
      </c>
      <c r="F16" s="1">
        <v>89</v>
      </c>
      <c r="G16" s="1">
        <v>71</v>
      </c>
      <c r="H16" s="1" t="s">
        <v>125</v>
      </c>
      <c r="I16" s="6" t="str">
        <f t="shared" si="1"/>
        <v>Average</v>
      </c>
    </row>
    <row r="17" spans="1:9" ht="16.5" x14ac:dyDescent="0.3">
      <c r="A17" s="2" t="s">
        <v>24</v>
      </c>
      <c r="B17" s="1" t="s">
        <v>79</v>
      </c>
      <c r="C17" s="1">
        <v>22</v>
      </c>
      <c r="D17" s="1" t="s">
        <v>116</v>
      </c>
      <c r="E17" s="1" t="s">
        <v>119</v>
      </c>
      <c r="F17" s="1">
        <v>59</v>
      </c>
      <c r="G17" s="1"/>
      <c r="H17" s="1" t="s">
        <v>125</v>
      </c>
      <c r="I17" s="6" t="str">
        <f t="shared" si="1"/>
        <v>Poor</v>
      </c>
    </row>
    <row r="18" spans="1:9" ht="16.5" x14ac:dyDescent="0.3">
      <c r="A18" s="2" t="s">
        <v>25</v>
      </c>
      <c r="B18" s="1" t="s">
        <v>80</v>
      </c>
      <c r="C18" s="1">
        <v>19</v>
      </c>
      <c r="D18" s="1" t="s">
        <v>116</v>
      </c>
      <c r="E18" s="1" t="s">
        <v>121</v>
      </c>
      <c r="F18" s="1">
        <v>61</v>
      </c>
      <c r="G18" s="1">
        <v>55</v>
      </c>
      <c r="H18" s="1" t="s">
        <v>124</v>
      </c>
      <c r="I18" s="6" t="str">
        <f t="shared" si="1"/>
        <v>Poor</v>
      </c>
    </row>
    <row r="19" spans="1:9" ht="16.5" x14ac:dyDescent="0.3">
      <c r="A19" s="2" t="s">
        <v>26</v>
      </c>
      <c r="B19" s="1" t="s">
        <v>81</v>
      </c>
      <c r="C19" s="1">
        <v>22</v>
      </c>
      <c r="D19" s="1" t="s">
        <v>118</v>
      </c>
      <c r="E19" s="1" t="s">
        <v>121</v>
      </c>
      <c r="F19" s="1">
        <v>69</v>
      </c>
      <c r="G19" s="1">
        <v>70</v>
      </c>
      <c r="H19" s="1" t="s">
        <v>128</v>
      </c>
      <c r="I19" s="6" t="str">
        <f t="shared" si="1"/>
        <v>Needs Improvement</v>
      </c>
    </row>
    <row r="20" spans="1:9" ht="16.5" x14ac:dyDescent="0.3">
      <c r="A20" s="2" t="s">
        <v>27</v>
      </c>
      <c r="B20" s="1" t="s">
        <v>82</v>
      </c>
      <c r="C20" s="1">
        <v>19</v>
      </c>
      <c r="D20" s="1" t="s">
        <v>118</v>
      </c>
      <c r="E20" s="1" t="s">
        <v>120</v>
      </c>
      <c r="F20" s="1">
        <v>75</v>
      </c>
      <c r="G20" s="1">
        <v>100</v>
      </c>
      <c r="H20" s="1" t="s">
        <v>129</v>
      </c>
      <c r="I20" s="6" t="str">
        <f t="shared" si="1"/>
        <v>Excellent</v>
      </c>
    </row>
    <row r="21" spans="1:9" ht="16.5" x14ac:dyDescent="0.3">
      <c r="A21" s="2" t="s">
        <v>28</v>
      </c>
      <c r="B21" s="1" t="s">
        <v>83</v>
      </c>
      <c r="C21" s="1">
        <v>19</v>
      </c>
      <c r="D21" s="1" t="s">
        <v>117</v>
      </c>
      <c r="E21" s="1" t="s">
        <v>121</v>
      </c>
      <c r="F21" s="1">
        <v>82</v>
      </c>
      <c r="G21" s="1">
        <v>95</v>
      </c>
      <c r="H21" s="1" t="s">
        <v>130</v>
      </c>
      <c r="I21" s="6" t="str">
        <f t="shared" si="1"/>
        <v>Excellent</v>
      </c>
    </row>
    <row r="22" spans="1:9" ht="16.5" x14ac:dyDescent="0.3">
      <c r="A22" s="2" t="s">
        <v>29</v>
      </c>
      <c r="B22" s="1" t="s">
        <v>84</v>
      </c>
      <c r="C22" s="1">
        <v>19</v>
      </c>
      <c r="D22" s="1" t="s">
        <v>117</v>
      </c>
      <c r="E22" s="1" t="s">
        <v>119</v>
      </c>
      <c r="F22" s="1">
        <v>69</v>
      </c>
      <c r="G22" s="1">
        <v>92</v>
      </c>
      <c r="H22" s="1" t="s">
        <v>132</v>
      </c>
      <c r="I22" s="6" t="str">
        <f t="shared" si="1"/>
        <v>Excellent</v>
      </c>
    </row>
    <row r="23" spans="1:9" ht="16.5" x14ac:dyDescent="0.3">
      <c r="A23" s="2" t="s">
        <v>30</v>
      </c>
      <c r="B23" s="1" t="s">
        <v>85</v>
      </c>
      <c r="C23" s="1">
        <v>22</v>
      </c>
      <c r="D23" s="1" t="s">
        <v>115</v>
      </c>
      <c r="E23" s="1" t="s">
        <v>120</v>
      </c>
      <c r="F23" s="1">
        <v>74</v>
      </c>
      <c r="G23" s="1">
        <v>63</v>
      </c>
      <c r="H23" s="1" t="s">
        <v>130</v>
      </c>
      <c r="I23" s="6"/>
    </row>
    <row r="24" spans="1:9" ht="16.5" x14ac:dyDescent="0.3">
      <c r="A24" s="2" t="s">
        <v>11</v>
      </c>
      <c r="B24" s="1" t="s">
        <v>66</v>
      </c>
      <c r="C24" s="1">
        <v>21</v>
      </c>
      <c r="D24" s="1" t="s">
        <v>117</v>
      </c>
      <c r="E24" s="1" t="s">
        <v>119</v>
      </c>
      <c r="F24" s="1">
        <v>69</v>
      </c>
      <c r="G24" s="1">
        <v>81</v>
      </c>
      <c r="H24" s="1" t="s">
        <v>132</v>
      </c>
      <c r="I24" s="6" t="str">
        <f t="shared" ref="I24:I35" si="2">IF(G24&gt;90,"Excellent",IF(G24&gt;80,"Good",IF(G24&gt;70,"Average",IF(G24&gt;60,"Needs Improvement","Poor"))))</f>
        <v>Good</v>
      </c>
    </row>
    <row r="25" spans="1:9" ht="16.5" x14ac:dyDescent="0.3">
      <c r="A25" s="2" t="s">
        <v>31</v>
      </c>
      <c r="B25" s="1" t="s">
        <v>86</v>
      </c>
      <c r="C25" s="1">
        <v>23</v>
      </c>
      <c r="D25" s="1" t="s">
        <v>118</v>
      </c>
      <c r="E25" s="1" t="s">
        <v>121</v>
      </c>
      <c r="F25" s="1">
        <v>89</v>
      </c>
      <c r="G25" s="1">
        <v>58</v>
      </c>
      <c r="H25" s="1" t="s">
        <v>129</v>
      </c>
      <c r="I25" s="6" t="str">
        <f t="shared" si="2"/>
        <v>Poor</v>
      </c>
    </row>
    <row r="26" spans="1:9" ht="16.5" x14ac:dyDescent="0.3">
      <c r="A26" s="2" t="s">
        <v>32</v>
      </c>
      <c r="B26" s="1" t="s">
        <v>87</v>
      </c>
      <c r="C26" s="1">
        <v>22</v>
      </c>
      <c r="D26" s="1"/>
      <c r="E26" s="1" t="s">
        <v>119</v>
      </c>
      <c r="F26" s="1">
        <v>51</v>
      </c>
      <c r="G26" s="1">
        <v>85</v>
      </c>
      <c r="H26" s="1" t="s">
        <v>129</v>
      </c>
      <c r="I26" s="6" t="str">
        <f t="shared" si="2"/>
        <v>Good</v>
      </c>
    </row>
    <row r="27" spans="1:9" ht="16.5" x14ac:dyDescent="0.3">
      <c r="A27" s="2" t="s">
        <v>33</v>
      </c>
      <c r="B27" s="1" t="s">
        <v>88</v>
      </c>
      <c r="C27" s="1"/>
      <c r="D27" s="1" t="s">
        <v>117</v>
      </c>
      <c r="E27" s="1" t="s">
        <v>120</v>
      </c>
      <c r="F27" s="1">
        <v>63</v>
      </c>
      <c r="G27" s="1">
        <v>98</v>
      </c>
      <c r="H27" s="1" t="s">
        <v>130</v>
      </c>
      <c r="I27" s="6" t="str">
        <f t="shared" si="2"/>
        <v>Excellent</v>
      </c>
    </row>
    <row r="28" spans="1:9" ht="16.5" x14ac:dyDescent="0.3">
      <c r="A28" s="2" t="s">
        <v>34</v>
      </c>
      <c r="B28" s="1" t="s">
        <v>89</v>
      </c>
      <c r="C28" s="1">
        <v>21</v>
      </c>
      <c r="D28" s="1" t="s">
        <v>116</v>
      </c>
      <c r="E28" s="1" t="s">
        <v>120</v>
      </c>
      <c r="F28" s="1">
        <v>87</v>
      </c>
      <c r="G28" s="1">
        <v>79</v>
      </c>
      <c r="H28" s="1" t="s">
        <v>129</v>
      </c>
      <c r="I28" s="6" t="str">
        <f t="shared" si="2"/>
        <v>Average</v>
      </c>
    </row>
    <row r="29" spans="1:9" ht="16.5" x14ac:dyDescent="0.3">
      <c r="A29" s="2" t="s">
        <v>35</v>
      </c>
      <c r="B29" s="1" t="s">
        <v>90</v>
      </c>
      <c r="C29" s="1">
        <v>20</v>
      </c>
      <c r="D29" s="1" t="s">
        <v>115</v>
      </c>
      <c r="E29" s="1" t="s">
        <v>122</v>
      </c>
      <c r="F29" s="1">
        <v>97</v>
      </c>
      <c r="G29" s="1">
        <v>80</v>
      </c>
      <c r="H29" s="1" t="s">
        <v>130</v>
      </c>
      <c r="I29" s="6" t="str">
        <f t="shared" si="2"/>
        <v>Average</v>
      </c>
    </row>
    <row r="30" spans="1:9" ht="16.5" x14ac:dyDescent="0.3">
      <c r="A30" s="2" t="s">
        <v>36</v>
      </c>
      <c r="B30" s="1" t="s">
        <v>91</v>
      </c>
      <c r="C30" s="1">
        <v>24</v>
      </c>
      <c r="D30" s="1"/>
      <c r="E30" s="1" t="s">
        <v>120</v>
      </c>
      <c r="F30" s="1">
        <v>76</v>
      </c>
      <c r="G30" s="1">
        <v>64</v>
      </c>
      <c r="H30" s="1" t="s">
        <v>126</v>
      </c>
      <c r="I30" s="6" t="str">
        <f t="shared" si="2"/>
        <v>Needs Improvement</v>
      </c>
    </row>
    <row r="31" spans="1:9" ht="16.5" x14ac:dyDescent="0.3">
      <c r="A31" s="2" t="s">
        <v>37</v>
      </c>
      <c r="B31" s="1" t="s">
        <v>92</v>
      </c>
      <c r="C31" s="1">
        <v>20</v>
      </c>
      <c r="D31" s="1" t="s">
        <v>118</v>
      </c>
      <c r="E31" s="1" t="s">
        <v>121</v>
      </c>
      <c r="F31" s="1">
        <v>77</v>
      </c>
      <c r="G31" s="1">
        <v>90</v>
      </c>
      <c r="H31" s="1" t="s">
        <v>129</v>
      </c>
      <c r="I31" s="6" t="str">
        <f t="shared" si="2"/>
        <v>Good</v>
      </c>
    </row>
    <row r="32" spans="1:9" ht="16.5" x14ac:dyDescent="0.3">
      <c r="A32" s="2" t="s">
        <v>38</v>
      </c>
      <c r="B32" s="1" t="s">
        <v>93</v>
      </c>
      <c r="C32" s="1"/>
      <c r="D32" s="1" t="s">
        <v>118</v>
      </c>
      <c r="E32" s="1" t="s">
        <v>121</v>
      </c>
      <c r="F32" s="1">
        <v>55</v>
      </c>
      <c r="G32" s="1">
        <v>59</v>
      </c>
      <c r="H32" s="1" t="s">
        <v>125</v>
      </c>
      <c r="I32" s="6" t="str">
        <f t="shared" si="2"/>
        <v>Poor</v>
      </c>
    </row>
    <row r="33" spans="1:9" ht="16.5" x14ac:dyDescent="0.3">
      <c r="A33" s="2" t="s">
        <v>39</v>
      </c>
      <c r="B33" s="1" t="s">
        <v>94</v>
      </c>
      <c r="C33" s="1">
        <v>19</v>
      </c>
      <c r="D33" s="1" t="s">
        <v>116</v>
      </c>
      <c r="E33" s="1" t="s">
        <v>121</v>
      </c>
      <c r="F33" s="1">
        <v>73</v>
      </c>
      <c r="G33" s="1">
        <v>67</v>
      </c>
      <c r="H33" s="1"/>
      <c r="I33" s="6" t="str">
        <f t="shared" si="2"/>
        <v>Needs Improvement</v>
      </c>
    </row>
    <row r="34" spans="1:9" ht="16.5" x14ac:dyDescent="0.3">
      <c r="A34" s="2" t="s">
        <v>40</v>
      </c>
      <c r="B34" s="1" t="s">
        <v>95</v>
      </c>
      <c r="C34" s="1"/>
      <c r="D34" s="1" t="s">
        <v>116</v>
      </c>
      <c r="E34" s="1"/>
      <c r="F34" s="1">
        <v>78</v>
      </c>
      <c r="G34" s="1">
        <v>72</v>
      </c>
      <c r="H34" s="1" t="s">
        <v>130</v>
      </c>
      <c r="I34" s="6" t="str">
        <f t="shared" si="2"/>
        <v>Average</v>
      </c>
    </row>
    <row r="35" spans="1:9" ht="16.5" x14ac:dyDescent="0.3">
      <c r="A35" s="2" t="s">
        <v>41</v>
      </c>
      <c r="B35" s="1" t="s">
        <v>96</v>
      </c>
      <c r="C35" s="1">
        <v>19</v>
      </c>
      <c r="D35" s="1" t="s">
        <v>117</v>
      </c>
      <c r="E35" s="1" t="s">
        <v>121</v>
      </c>
      <c r="F35" s="1">
        <v>62</v>
      </c>
      <c r="G35" s="1">
        <v>76</v>
      </c>
      <c r="H35" s="1" t="s">
        <v>129</v>
      </c>
      <c r="I35" s="6" t="str">
        <f t="shared" si="2"/>
        <v>Average</v>
      </c>
    </row>
    <row r="36" spans="1:9" ht="16.5" x14ac:dyDescent="0.3">
      <c r="A36" s="2" t="s">
        <v>42</v>
      </c>
      <c r="B36" s="1" t="s">
        <v>97</v>
      </c>
      <c r="C36" s="1">
        <v>25</v>
      </c>
      <c r="D36" s="1" t="s">
        <v>117</v>
      </c>
      <c r="E36" s="1" t="s">
        <v>121</v>
      </c>
      <c r="F36" s="1">
        <v>64</v>
      </c>
      <c r="G36" s="1">
        <v>62</v>
      </c>
      <c r="H36" s="1"/>
      <c r="I36" s="6"/>
    </row>
    <row r="37" spans="1:9" ht="16.5" x14ac:dyDescent="0.3">
      <c r="A37" s="2" t="s">
        <v>43</v>
      </c>
      <c r="B37" s="1" t="s">
        <v>98</v>
      </c>
      <c r="C37" s="1">
        <v>22</v>
      </c>
      <c r="D37" s="1" t="s">
        <v>118</v>
      </c>
      <c r="E37" s="1" t="s">
        <v>119</v>
      </c>
      <c r="F37" s="1">
        <v>69</v>
      </c>
      <c r="G37" s="1">
        <v>56</v>
      </c>
      <c r="H37" s="1" t="s">
        <v>128</v>
      </c>
      <c r="I37" s="6" t="str">
        <f t="shared" ref="I37:I47" si="3">IF(G37&gt;90,"Excellent",IF(G37&gt;80,"Good",IF(G37&gt;70,"Average",IF(G37&gt;60,"Needs Improvement","Poor"))))</f>
        <v>Poor</v>
      </c>
    </row>
    <row r="38" spans="1:9" ht="16.5" x14ac:dyDescent="0.3">
      <c r="A38" s="2" t="s">
        <v>44</v>
      </c>
      <c r="B38" s="1" t="s">
        <v>99</v>
      </c>
      <c r="C38" s="1"/>
      <c r="D38" s="1" t="s">
        <v>118</v>
      </c>
      <c r="E38" s="1" t="s">
        <v>122</v>
      </c>
      <c r="F38" s="1">
        <v>51</v>
      </c>
      <c r="G38" s="1">
        <v>82</v>
      </c>
      <c r="H38" s="1" t="s">
        <v>127</v>
      </c>
      <c r="I38" s="6" t="str">
        <f t="shared" si="3"/>
        <v>Good</v>
      </c>
    </row>
    <row r="39" spans="1:9" ht="16.5" x14ac:dyDescent="0.3">
      <c r="A39" s="2" t="s">
        <v>45</v>
      </c>
      <c r="B39" s="1" t="s">
        <v>100</v>
      </c>
      <c r="C39" s="1">
        <v>19</v>
      </c>
      <c r="D39" s="1"/>
      <c r="E39" s="1" t="s">
        <v>122</v>
      </c>
      <c r="F39" s="1">
        <v>66</v>
      </c>
      <c r="G39" s="1">
        <v>65</v>
      </c>
      <c r="H39" s="1"/>
      <c r="I39" s="6" t="str">
        <f t="shared" si="3"/>
        <v>Needs Improvement</v>
      </c>
    </row>
    <row r="40" spans="1:9" ht="16.5" x14ac:dyDescent="0.3">
      <c r="A40" s="2" t="s">
        <v>46</v>
      </c>
      <c r="B40" s="1" t="s">
        <v>101</v>
      </c>
      <c r="C40" s="1">
        <v>22</v>
      </c>
      <c r="D40" s="1"/>
      <c r="E40" s="1" t="s">
        <v>122</v>
      </c>
      <c r="F40" s="1">
        <v>61</v>
      </c>
      <c r="G40" s="1">
        <v>80</v>
      </c>
      <c r="H40" s="1" t="s">
        <v>128</v>
      </c>
      <c r="I40" s="6" t="str">
        <f t="shared" si="3"/>
        <v>Average</v>
      </c>
    </row>
    <row r="41" spans="1:9" ht="16.5" x14ac:dyDescent="0.3">
      <c r="A41" s="2" t="s">
        <v>47</v>
      </c>
      <c r="B41" s="1" t="s">
        <v>102</v>
      </c>
      <c r="C41" s="1"/>
      <c r="D41" s="1" t="s">
        <v>116</v>
      </c>
      <c r="E41" s="1" t="s">
        <v>122</v>
      </c>
      <c r="F41" s="1">
        <v>67</v>
      </c>
      <c r="G41" s="1">
        <v>58</v>
      </c>
      <c r="H41" s="1" t="s">
        <v>130</v>
      </c>
      <c r="I41" s="6" t="str">
        <f t="shared" si="3"/>
        <v>Poor</v>
      </c>
    </row>
    <row r="42" spans="1:9" ht="16.5" x14ac:dyDescent="0.3">
      <c r="A42" s="2" t="s">
        <v>48</v>
      </c>
      <c r="B42" s="1" t="s">
        <v>103</v>
      </c>
      <c r="C42" s="1">
        <v>22</v>
      </c>
      <c r="D42" s="1" t="s">
        <v>116</v>
      </c>
      <c r="E42" s="1" t="s">
        <v>122</v>
      </c>
      <c r="F42" s="1">
        <v>56</v>
      </c>
      <c r="G42" s="1">
        <v>75</v>
      </c>
      <c r="H42" s="1" t="s">
        <v>125</v>
      </c>
      <c r="I42" s="6" t="str">
        <f t="shared" si="3"/>
        <v>Average</v>
      </c>
    </row>
    <row r="43" spans="1:9" ht="16.5" x14ac:dyDescent="0.3">
      <c r="A43" s="2" t="s">
        <v>9</v>
      </c>
      <c r="B43" s="1" t="s">
        <v>64</v>
      </c>
      <c r="C43" s="1">
        <v>19</v>
      </c>
      <c r="D43" s="1" t="s">
        <v>115</v>
      </c>
      <c r="E43" s="1" t="s">
        <v>119</v>
      </c>
      <c r="F43" s="1">
        <v>74</v>
      </c>
      <c r="G43" s="1">
        <v>68</v>
      </c>
      <c r="H43" s="1"/>
      <c r="I43" s="6" t="str">
        <f t="shared" si="3"/>
        <v>Needs Improvement</v>
      </c>
    </row>
    <row r="44" spans="1:9" ht="16.5" x14ac:dyDescent="0.3">
      <c r="A44" s="2" t="s">
        <v>49</v>
      </c>
      <c r="B44" s="1" t="s">
        <v>104</v>
      </c>
      <c r="C44" s="1">
        <v>22</v>
      </c>
      <c r="D44" s="1" t="s">
        <v>118</v>
      </c>
      <c r="E44" s="1" t="s">
        <v>122</v>
      </c>
      <c r="F44" s="1">
        <v>96</v>
      </c>
      <c r="G44" s="1">
        <v>78</v>
      </c>
      <c r="H44" s="1" t="s">
        <v>124</v>
      </c>
      <c r="I44" s="6" t="str">
        <f t="shared" si="3"/>
        <v>Average</v>
      </c>
    </row>
    <row r="45" spans="1:9" ht="16.5" x14ac:dyDescent="0.3">
      <c r="A45" s="2" t="s">
        <v>50</v>
      </c>
      <c r="B45" s="1" t="s">
        <v>105</v>
      </c>
      <c r="C45" s="1">
        <v>23</v>
      </c>
      <c r="D45" s="1" t="s">
        <v>118</v>
      </c>
      <c r="E45" s="1" t="s">
        <v>119</v>
      </c>
      <c r="F45" s="1">
        <v>81</v>
      </c>
      <c r="G45" s="1">
        <v>52</v>
      </c>
      <c r="H45" s="1" t="s">
        <v>128</v>
      </c>
      <c r="I45" s="6" t="str">
        <f t="shared" si="3"/>
        <v>Poor</v>
      </c>
    </row>
    <row r="46" spans="1:9" ht="16.5" x14ac:dyDescent="0.3">
      <c r="A46" s="2" t="s">
        <v>51</v>
      </c>
      <c r="B46" s="1" t="s">
        <v>106</v>
      </c>
      <c r="C46" s="1">
        <v>22</v>
      </c>
      <c r="D46" s="1" t="s">
        <v>117</v>
      </c>
      <c r="E46" s="1" t="s">
        <v>122</v>
      </c>
      <c r="F46" s="1">
        <v>85</v>
      </c>
      <c r="G46" s="1">
        <v>67</v>
      </c>
      <c r="H46" s="1" t="s">
        <v>129</v>
      </c>
      <c r="I46" s="6" t="str">
        <f t="shared" si="3"/>
        <v>Needs Improvement</v>
      </c>
    </row>
    <row r="47" spans="1:9" ht="16.5" x14ac:dyDescent="0.3">
      <c r="A47" s="2" t="s">
        <v>52</v>
      </c>
      <c r="B47" s="1" t="s">
        <v>107</v>
      </c>
      <c r="C47" s="1">
        <v>22</v>
      </c>
      <c r="D47" s="1" t="s">
        <v>116</v>
      </c>
      <c r="E47" s="1" t="s">
        <v>121</v>
      </c>
      <c r="F47" s="1">
        <v>91</v>
      </c>
      <c r="G47" s="1">
        <v>57</v>
      </c>
      <c r="H47" s="1"/>
      <c r="I47" s="6" t="str">
        <f t="shared" si="3"/>
        <v>Poor</v>
      </c>
    </row>
    <row r="48" spans="1:9" ht="16.5" x14ac:dyDescent="0.3">
      <c r="A48" s="2" t="s">
        <v>53</v>
      </c>
      <c r="B48" s="1" t="s">
        <v>108</v>
      </c>
      <c r="C48" s="1">
        <v>22</v>
      </c>
      <c r="D48" s="1" t="s">
        <v>117</v>
      </c>
      <c r="E48" s="1" t="s">
        <v>120</v>
      </c>
      <c r="F48" s="1">
        <v>76</v>
      </c>
      <c r="G48" s="1">
        <v>53</v>
      </c>
      <c r="H48" s="1" t="s">
        <v>124</v>
      </c>
      <c r="I48" s="6"/>
    </row>
    <row r="49" spans="1:9" ht="16.5" x14ac:dyDescent="0.3">
      <c r="A49" s="2" t="s">
        <v>54</v>
      </c>
      <c r="B49" s="1" t="s">
        <v>109</v>
      </c>
      <c r="C49" s="1">
        <v>25</v>
      </c>
      <c r="D49" s="1"/>
      <c r="E49" s="1" t="s">
        <v>121</v>
      </c>
      <c r="F49" s="1">
        <v>54</v>
      </c>
      <c r="G49" s="1"/>
      <c r="H49" s="1" t="s">
        <v>125</v>
      </c>
      <c r="I49" s="6" t="str">
        <f t="shared" ref="I49:I55" si="4">IF(G49&gt;90,"Excellent",IF(G49&gt;80,"Good",IF(G49&gt;70,"Average",IF(G49&gt;60,"Needs Improvement","Poor"))))</f>
        <v>Poor</v>
      </c>
    </row>
    <row r="50" spans="1:9" ht="16.5" x14ac:dyDescent="0.3">
      <c r="A50" s="2" t="s">
        <v>55</v>
      </c>
      <c r="B50" s="1" t="s">
        <v>110</v>
      </c>
      <c r="C50" s="1">
        <v>19</v>
      </c>
      <c r="D50" s="1" t="s">
        <v>116</v>
      </c>
      <c r="E50" s="1" t="s">
        <v>119</v>
      </c>
      <c r="F50" s="1">
        <v>78</v>
      </c>
      <c r="G50" s="1">
        <v>66</v>
      </c>
      <c r="H50" s="1" t="s">
        <v>130</v>
      </c>
      <c r="I50" s="6" t="str">
        <f t="shared" si="4"/>
        <v>Needs Improvement</v>
      </c>
    </row>
    <row r="51" spans="1:9" ht="16.5" x14ac:dyDescent="0.3">
      <c r="A51" s="2" t="s">
        <v>56</v>
      </c>
      <c r="B51" s="1" t="s">
        <v>111</v>
      </c>
      <c r="C51" s="1">
        <v>20</v>
      </c>
      <c r="D51" s="1" t="s">
        <v>117</v>
      </c>
      <c r="E51" s="1" t="s">
        <v>122</v>
      </c>
      <c r="F51" s="1">
        <v>80</v>
      </c>
      <c r="G51" s="1">
        <v>92</v>
      </c>
      <c r="H51" s="1" t="s">
        <v>125</v>
      </c>
      <c r="I51" s="6" t="str">
        <f t="shared" si="4"/>
        <v>Excellent</v>
      </c>
    </row>
    <row r="52" spans="1:9" ht="16.5" x14ac:dyDescent="0.3">
      <c r="A52" s="2" t="s">
        <v>57</v>
      </c>
      <c r="B52" s="1" t="s">
        <v>112</v>
      </c>
      <c r="C52" s="1"/>
      <c r="D52" s="1" t="s">
        <v>116</v>
      </c>
      <c r="E52" s="1" t="s">
        <v>122</v>
      </c>
      <c r="F52" s="1">
        <v>89</v>
      </c>
      <c r="G52" s="1">
        <v>63</v>
      </c>
      <c r="H52" s="1" t="s">
        <v>126</v>
      </c>
      <c r="I52" s="6" t="str">
        <f t="shared" si="4"/>
        <v>Needs Improvement</v>
      </c>
    </row>
    <row r="53" spans="1:9" ht="16.5" x14ac:dyDescent="0.3">
      <c r="A53" s="2" t="s">
        <v>58</v>
      </c>
      <c r="B53" s="1" t="s">
        <v>113</v>
      </c>
      <c r="C53" s="1">
        <v>25</v>
      </c>
      <c r="D53" s="1" t="s">
        <v>116</v>
      </c>
      <c r="E53" s="1" t="s">
        <v>122</v>
      </c>
      <c r="F53" s="1">
        <v>72</v>
      </c>
      <c r="G53" s="1">
        <v>85</v>
      </c>
      <c r="H53" s="1" t="s">
        <v>127</v>
      </c>
      <c r="I53" s="6" t="str">
        <f t="shared" si="4"/>
        <v>Good</v>
      </c>
    </row>
    <row r="54" spans="1:9" ht="16.5" x14ac:dyDescent="0.3">
      <c r="A54" s="2" t="s">
        <v>59</v>
      </c>
      <c r="B54" s="1" t="s">
        <v>64</v>
      </c>
      <c r="C54" s="1">
        <v>22</v>
      </c>
      <c r="D54" s="1" t="s">
        <v>115</v>
      </c>
      <c r="E54" s="1" t="s">
        <v>122</v>
      </c>
      <c r="F54" s="1">
        <v>56</v>
      </c>
      <c r="G54" s="1">
        <v>89</v>
      </c>
      <c r="H54" s="1" t="s">
        <v>129</v>
      </c>
      <c r="I54" s="6" t="str">
        <f t="shared" si="4"/>
        <v>Good</v>
      </c>
    </row>
    <row r="55" spans="1:9" ht="16.5" x14ac:dyDescent="0.3">
      <c r="A55" s="2" t="s">
        <v>10</v>
      </c>
      <c r="B55" s="1" t="s">
        <v>65</v>
      </c>
      <c r="C55" s="1"/>
      <c r="D55" s="1" t="s">
        <v>116</v>
      </c>
      <c r="E55" s="1" t="s">
        <v>120</v>
      </c>
      <c r="F55" s="1">
        <v>60</v>
      </c>
      <c r="G55" s="1"/>
      <c r="H55" s="1" t="s">
        <v>124</v>
      </c>
      <c r="I55" s="6" t="str">
        <f t="shared" si="4"/>
        <v>Poor</v>
      </c>
    </row>
    <row r="56" spans="1:9" ht="16.5" x14ac:dyDescent="0.3">
      <c r="A56" s="2" t="s">
        <v>60</v>
      </c>
      <c r="B56" s="1" t="s">
        <v>65</v>
      </c>
      <c r="C56" s="1">
        <v>22</v>
      </c>
      <c r="D56" s="1" t="s">
        <v>117</v>
      </c>
      <c r="E56" s="1" t="s">
        <v>121</v>
      </c>
      <c r="F56" s="1">
        <v>64</v>
      </c>
      <c r="G56" s="1">
        <v>81</v>
      </c>
      <c r="H56" s="1" t="s">
        <v>126</v>
      </c>
      <c r="I56" s="6"/>
    </row>
    <row r="57" spans="1:9" ht="16.5" x14ac:dyDescent="0.3">
      <c r="A57" s="2" t="s">
        <v>61</v>
      </c>
      <c r="B57" s="1" t="s">
        <v>74</v>
      </c>
      <c r="C57" s="1">
        <v>20</v>
      </c>
      <c r="D57" s="1" t="s">
        <v>116</v>
      </c>
      <c r="E57" s="1" t="s">
        <v>122</v>
      </c>
      <c r="F57" s="1">
        <v>69</v>
      </c>
      <c r="G57" s="1">
        <v>74</v>
      </c>
      <c r="H57" s="1"/>
      <c r="I57" s="6" t="str">
        <f>IF(G57&gt;90,"Excellent",IF(G57&gt;80,"Good",IF(G57&gt;70,"Average",IF(G57&gt;60,"Needs Improvement","Poor"))))</f>
        <v>Average</v>
      </c>
    </row>
    <row r="58" spans="1:9" ht="16.5" x14ac:dyDescent="0.3">
      <c r="A58" s="2" t="s">
        <v>62</v>
      </c>
      <c r="B58" s="1" t="s">
        <v>75</v>
      </c>
      <c r="C58" s="1">
        <v>20</v>
      </c>
      <c r="D58" s="1" t="s">
        <v>116</v>
      </c>
      <c r="E58" s="1" t="s">
        <v>122</v>
      </c>
      <c r="F58" s="1">
        <v>83</v>
      </c>
      <c r="G58" s="1">
        <v>71</v>
      </c>
      <c r="H58" s="1" t="s">
        <v>130</v>
      </c>
      <c r="I58" s="6" t="str">
        <f>IF(G58&gt;90,"Excellent",IF(G58&gt;80,"Good",IF(G58&gt;70,"Average",IF(G58&gt;60,"Needs Improvement","Poor"))))</f>
        <v>Average</v>
      </c>
    </row>
    <row r="59" spans="1:9" ht="16.5" x14ac:dyDescent="0.3">
      <c r="A59" s="3" t="s">
        <v>63</v>
      </c>
      <c r="B59" s="4" t="s">
        <v>76</v>
      </c>
      <c r="C59" s="4">
        <v>22</v>
      </c>
      <c r="D59" s="4" t="s">
        <v>116</v>
      </c>
      <c r="E59" s="4" t="s">
        <v>122</v>
      </c>
      <c r="F59" s="4">
        <v>80</v>
      </c>
      <c r="G59" s="4">
        <v>68</v>
      </c>
      <c r="H59" s="4" t="s">
        <v>124</v>
      </c>
      <c r="I59" s="7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tabSelected="1" workbookViewId="0">
      <selection activeCell="L9" sqref="L9"/>
    </sheetView>
  </sheetViews>
  <sheetFormatPr defaultRowHeight="15" x14ac:dyDescent="0.25"/>
  <cols>
    <col min="1" max="1" width="13.140625" customWidth="1"/>
    <col min="2" max="2" width="14.140625" bestFit="1" customWidth="1"/>
    <col min="3" max="3" width="12.42578125" bestFit="1" customWidth="1"/>
    <col min="4" max="4" width="9.7109375" customWidth="1"/>
    <col min="5" max="5" width="14.140625" customWidth="1"/>
    <col min="6" max="6" width="17.140625" customWidth="1"/>
    <col min="7" max="7" width="16.7109375" customWidth="1"/>
    <col min="8" max="8" width="17.28515625" customWidth="1"/>
    <col min="9" max="9" width="20.28515625" style="5" bestFit="1" customWidth="1"/>
    <col min="10" max="10" width="17.7109375" bestFit="1" customWidth="1"/>
  </cols>
  <sheetData>
    <row r="1" spans="1:9" ht="16.5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 ht="16.5" x14ac:dyDescent="0.3">
      <c r="A2" s="14" t="s">
        <v>9</v>
      </c>
      <c r="B2" s="15" t="s">
        <v>64</v>
      </c>
      <c r="C2" s="15">
        <v>19</v>
      </c>
      <c r="D2" s="15" t="s">
        <v>117</v>
      </c>
      <c r="E2" s="15" t="s">
        <v>119</v>
      </c>
      <c r="F2" s="15">
        <v>74</v>
      </c>
      <c r="G2" s="15">
        <v>68</v>
      </c>
      <c r="H2" s="15" t="s">
        <v>125</v>
      </c>
      <c r="I2" s="16" t="str">
        <f>IF(G2&gt;90,"Excellent",IF(G2&gt;80,"Good",IF(G2&gt;70,"Average",IF(G2&gt;60,"Needs Improvement","Poor"))))</f>
        <v>Needs Improvement</v>
      </c>
    </row>
    <row r="3" spans="1:9" ht="16.5" x14ac:dyDescent="0.3">
      <c r="A3" s="14" t="s">
        <v>10</v>
      </c>
      <c r="B3" s="15" t="s">
        <v>65</v>
      </c>
      <c r="C3" s="15">
        <v>21</v>
      </c>
      <c r="D3" s="15" t="s">
        <v>116</v>
      </c>
      <c r="E3" s="15" t="s">
        <v>120</v>
      </c>
      <c r="F3" s="15">
        <v>60</v>
      </c>
      <c r="G3" s="15">
        <v>85</v>
      </c>
      <c r="H3" s="15" t="s">
        <v>124</v>
      </c>
      <c r="I3" s="16" t="str">
        <f>IF(G3&gt;90,"Excellent",IF(G3&gt;80,"Good",IF(G3&gt;70,"Average",IF(G3&gt;60,"Needs Improvement","Poor"))))</f>
        <v>Good</v>
      </c>
    </row>
    <row r="4" spans="1:9" ht="16.5" x14ac:dyDescent="0.3">
      <c r="A4" s="14" t="s">
        <v>11</v>
      </c>
      <c r="B4" s="15" t="s">
        <v>66</v>
      </c>
      <c r="C4" s="15">
        <v>21</v>
      </c>
      <c r="D4" s="15" t="s">
        <v>117</v>
      </c>
      <c r="E4" s="15" t="s">
        <v>119</v>
      </c>
      <c r="F4" s="15">
        <v>69</v>
      </c>
      <c r="G4" s="15">
        <v>81</v>
      </c>
      <c r="H4" s="15" t="s">
        <v>125</v>
      </c>
      <c r="I4" s="16" t="str">
        <f>IF(G4&gt;90,"Excellent",IF(G4&gt;80,"Good",IF(G4&gt;70,"Average",IF(G4&gt;60,"Needs Improvement","Poor"))))</f>
        <v>Good</v>
      </c>
    </row>
    <row r="5" spans="1:9" ht="16.5" x14ac:dyDescent="0.3">
      <c r="A5" s="14" t="s">
        <v>12</v>
      </c>
      <c r="B5" s="15" t="s">
        <v>67</v>
      </c>
      <c r="C5" s="15">
        <v>21</v>
      </c>
      <c r="D5" s="15" t="s">
        <v>117</v>
      </c>
      <c r="E5" s="15" t="s">
        <v>119</v>
      </c>
      <c r="F5" s="15">
        <v>76</v>
      </c>
      <c r="G5" s="15">
        <v>62</v>
      </c>
      <c r="H5" s="15" t="s">
        <v>125</v>
      </c>
      <c r="I5" s="16" t="str">
        <f>IF(G5&gt;90,"Excellent",IF(G5&gt;80,"Good",IF(G5&gt;70,"Average",IF(G5&gt;60,"Needs Improvement","Poor"))))</f>
        <v>Needs Improvement</v>
      </c>
    </row>
    <row r="6" spans="1:9" ht="16.5" x14ac:dyDescent="0.3">
      <c r="A6" s="14" t="s">
        <v>13</v>
      </c>
      <c r="B6" s="15" t="s">
        <v>68</v>
      </c>
      <c r="C6" s="15">
        <v>24</v>
      </c>
      <c r="D6" s="15" t="s">
        <v>116</v>
      </c>
      <c r="E6" s="15" t="s">
        <v>120</v>
      </c>
      <c r="F6" s="15">
        <v>86</v>
      </c>
      <c r="G6" s="15">
        <v>55</v>
      </c>
      <c r="H6" s="15" t="s">
        <v>126</v>
      </c>
      <c r="I6" s="16" t="s">
        <v>133</v>
      </c>
    </row>
    <row r="7" spans="1:9" ht="16.5" x14ac:dyDescent="0.3">
      <c r="A7" s="14" t="s">
        <v>14</v>
      </c>
      <c r="B7" s="15" t="s">
        <v>69</v>
      </c>
      <c r="C7" s="15">
        <v>25</v>
      </c>
      <c r="D7" s="15" t="s">
        <v>116</v>
      </c>
      <c r="E7" s="15" t="s">
        <v>121</v>
      </c>
      <c r="F7" s="15">
        <v>52</v>
      </c>
      <c r="G7" s="15">
        <v>58</v>
      </c>
      <c r="H7" s="15" t="s">
        <v>131</v>
      </c>
      <c r="I7" s="16" t="str">
        <f t="shared" ref="I7:I12" si="0">IF(G7&gt;90,"Excellent",IF(G7&gt;80,"Good",IF(G7&gt;70,"Average",IF(G7&gt;60,"Needs Improvement","Poor"))))</f>
        <v>Poor</v>
      </c>
    </row>
    <row r="8" spans="1:9" ht="16.5" x14ac:dyDescent="0.3">
      <c r="A8" s="14" t="s">
        <v>15</v>
      </c>
      <c r="B8" s="15" t="s">
        <v>70</v>
      </c>
      <c r="C8" s="15">
        <v>21</v>
      </c>
      <c r="D8" s="15" t="s">
        <v>116</v>
      </c>
      <c r="E8" s="15" t="s">
        <v>122</v>
      </c>
      <c r="F8" s="15">
        <v>92</v>
      </c>
      <c r="G8" s="15">
        <v>62</v>
      </c>
      <c r="H8" s="15" t="s">
        <v>125</v>
      </c>
      <c r="I8" s="16" t="str">
        <f t="shared" si="0"/>
        <v>Needs Improvement</v>
      </c>
    </row>
    <row r="9" spans="1:9" ht="16.5" x14ac:dyDescent="0.3">
      <c r="A9" s="14" t="s">
        <v>16</v>
      </c>
      <c r="B9" s="15" t="s">
        <v>71</v>
      </c>
      <c r="C9" s="15">
        <v>24</v>
      </c>
      <c r="D9" s="15" t="s">
        <v>117</v>
      </c>
      <c r="E9" s="15" t="s">
        <v>122</v>
      </c>
      <c r="F9" s="15">
        <v>83</v>
      </c>
      <c r="G9" s="15">
        <v>58</v>
      </c>
      <c r="H9" s="15" t="s">
        <v>127</v>
      </c>
      <c r="I9" s="16" t="str">
        <f t="shared" si="0"/>
        <v>Poor</v>
      </c>
    </row>
    <row r="10" spans="1:9" ht="16.5" x14ac:dyDescent="0.3">
      <c r="A10" s="14" t="s">
        <v>17</v>
      </c>
      <c r="B10" s="15" t="s">
        <v>72</v>
      </c>
      <c r="C10" s="15">
        <v>21</v>
      </c>
      <c r="D10" s="15" t="s">
        <v>116</v>
      </c>
      <c r="E10" s="15" t="s">
        <v>120</v>
      </c>
      <c r="F10" s="15">
        <v>54</v>
      </c>
      <c r="G10" s="15">
        <v>59</v>
      </c>
      <c r="H10" s="15" t="s">
        <v>126</v>
      </c>
      <c r="I10" s="16" t="str">
        <f t="shared" si="0"/>
        <v>Poor</v>
      </c>
    </row>
    <row r="11" spans="1:9" ht="16.5" x14ac:dyDescent="0.3">
      <c r="A11" s="14" t="s">
        <v>18</v>
      </c>
      <c r="B11" s="15" t="s">
        <v>73</v>
      </c>
      <c r="C11" s="15">
        <v>19</v>
      </c>
      <c r="D11" s="15" t="s">
        <v>116</v>
      </c>
      <c r="E11" s="15" t="s">
        <v>119</v>
      </c>
      <c r="F11" s="15">
        <v>95</v>
      </c>
      <c r="G11" s="15">
        <v>64</v>
      </c>
      <c r="H11" s="15" t="s">
        <v>128</v>
      </c>
      <c r="I11" s="16" t="str">
        <f t="shared" si="0"/>
        <v>Needs Improvement</v>
      </c>
    </row>
    <row r="12" spans="1:9" ht="16.5" x14ac:dyDescent="0.3">
      <c r="A12" s="14" t="s">
        <v>19</v>
      </c>
      <c r="B12" s="15" t="s">
        <v>74</v>
      </c>
      <c r="C12" s="15">
        <v>24</v>
      </c>
      <c r="D12" s="15" t="s">
        <v>117</v>
      </c>
      <c r="E12" s="15" t="s">
        <v>119</v>
      </c>
      <c r="F12" s="15">
        <v>85</v>
      </c>
      <c r="G12" s="15">
        <v>59</v>
      </c>
      <c r="H12" s="15" t="s">
        <v>124</v>
      </c>
      <c r="I12" s="16" t="str">
        <f t="shared" si="0"/>
        <v>Poor</v>
      </c>
    </row>
    <row r="13" spans="1:9" ht="16.5" x14ac:dyDescent="0.3">
      <c r="A13" s="14" t="s">
        <v>20</v>
      </c>
      <c r="B13" s="15" t="s">
        <v>75</v>
      </c>
      <c r="C13" s="15">
        <v>22</v>
      </c>
      <c r="D13" s="15" t="s">
        <v>116</v>
      </c>
      <c r="E13" s="15" t="s">
        <v>122</v>
      </c>
      <c r="F13" s="15">
        <v>53</v>
      </c>
      <c r="G13" s="15">
        <v>97</v>
      </c>
      <c r="H13" s="15" t="s">
        <v>125</v>
      </c>
      <c r="I13" s="16" t="s">
        <v>134</v>
      </c>
    </row>
    <row r="14" spans="1:9" ht="16.5" x14ac:dyDescent="0.3">
      <c r="A14" s="14" t="s">
        <v>21</v>
      </c>
      <c r="B14" s="15" t="s">
        <v>76</v>
      </c>
      <c r="C14" s="15">
        <v>21</v>
      </c>
      <c r="D14" s="15" t="s">
        <v>116</v>
      </c>
      <c r="E14" s="15" t="s">
        <v>122</v>
      </c>
      <c r="F14" s="15">
        <v>64</v>
      </c>
      <c r="G14" s="15">
        <v>54</v>
      </c>
      <c r="H14" s="15" t="s">
        <v>124</v>
      </c>
      <c r="I14" s="16" t="str">
        <f t="shared" ref="I14:I22" si="1">IF(G14&gt;90,"Excellent",IF(G14&gt;80,"Good",IF(G14&gt;70,"Average",IF(G14&gt;60,"Needs Improvement","Poor"))))</f>
        <v>Poor</v>
      </c>
    </row>
    <row r="15" spans="1:9" ht="16.5" x14ac:dyDescent="0.3">
      <c r="A15" s="14" t="s">
        <v>22</v>
      </c>
      <c r="B15" s="15" t="s">
        <v>77</v>
      </c>
      <c r="C15" s="15">
        <v>25</v>
      </c>
      <c r="D15" s="15" t="s">
        <v>116</v>
      </c>
      <c r="E15" s="15" t="s">
        <v>122</v>
      </c>
      <c r="F15" s="15">
        <v>92</v>
      </c>
      <c r="G15" s="15">
        <v>77</v>
      </c>
      <c r="H15" s="15" t="s">
        <v>125</v>
      </c>
      <c r="I15" s="16" t="str">
        <f t="shared" si="1"/>
        <v>Average</v>
      </c>
    </row>
    <row r="16" spans="1:9" ht="16.5" x14ac:dyDescent="0.3">
      <c r="A16" s="14" t="s">
        <v>23</v>
      </c>
      <c r="B16" s="15" t="s">
        <v>78</v>
      </c>
      <c r="C16" s="15">
        <v>19</v>
      </c>
      <c r="D16" s="15" t="s">
        <v>116</v>
      </c>
      <c r="E16" s="15" t="s">
        <v>121</v>
      </c>
      <c r="F16" s="15">
        <v>89</v>
      </c>
      <c r="G16" s="15">
        <v>71</v>
      </c>
      <c r="H16" s="15" t="s">
        <v>125</v>
      </c>
      <c r="I16" s="16" t="str">
        <f t="shared" si="1"/>
        <v>Average</v>
      </c>
    </row>
    <row r="17" spans="1:9" ht="16.5" x14ac:dyDescent="0.3">
      <c r="A17" s="14" t="s">
        <v>24</v>
      </c>
      <c r="B17" s="15" t="s">
        <v>79</v>
      </c>
      <c r="C17" s="15">
        <v>22</v>
      </c>
      <c r="D17" s="15" t="s">
        <v>116</v>
      </c>
      <c r="E17" s="15" t="s">
        <v>119</v>
      </c>
      <c r="F17" s="15">
        <v>59</v>
      </c>
      <c r="G17" s="15">
        <v>55</v>
      </c>
      <c r="H17" s="15" t="s">
        <v>125</v>
      </c>
      <c r="I17" s="16" t="str">
        <f t="shared" si="1"/>
        <v>Poor</v>
      </c>
    </row>
    <row r="18" spans="1:9" ht="16.5" x14ac:dyDescent="0.3">
      <c r="A18" s="14" t="s">
        <v>25</v>
      </c>
      <c r="B18" s="15" t="s">
        <v>80</v>
      </c>
      <c r="C18" s="15">
        <v>19</v>
      </c>
      <c r="D18" s="15" t="s">
        <v>116</v>
      </c>
      <c r="E18" s="15" t="s">
        <v>121</v>
      </c>
      <c r="F18" s="15">
        <v>61</v>
      </c>
      <c r="G18" s="15">
        <v>55</v>
      </c>
      <c r="H18" s="15" t="s">
        <v>124</v>
      </c>
      <c r="I18" s="16" t="str">
        <f t="shared" si="1"/>
        <v>Poor</v>
      </c>
    </row>
    <row r="19" spans="1:9" ht="16.5" x14ac:dyDescent="0.3">
      <c r="A19" s="14" t="s">
        <v>26</v>
      </c>
      <c r="B19" s="15" t="s">
        <v>81</v>
      </c>
      <c r="C19" s="15">
        <v>22</v>
      </c>
      <c r="D19" s="15" t="s">
        <v>116</v>
      </c>
      <c r="E19" s="15" t="s">
        <v>121</v>
      </c>
      <c r="F19" s="15">
        <v>69</v>
      </c>
      <c r="G19" s="15">
        <v>70</v>
      </c>
      <c r="H19" s="15" t="s">
        <v>128</v>
      </c>
      <c r="I19" s="16" t="str">
        <f t="shared" si="1"/>
        <v>Needs Improvement</v>
      </c>
    </row>
    <row r="20" spans="1:9" ht="16.5" x14ac:dyDescent="0.3">
      <c r="A20" s="14" t="s">
        <v>27</v>
      </c>
      <c r="B20" s="15" t="s">
        <v>82</v>
      </c>
      <c r="C20" s="15">
        <v>19</v>
      </c>
      <c r="D20" s="15" t="s">
        <v>116</v>
      </c>
      <c r="E20" s="15" t="s">
        <v>120</v>
      </c>
      <c r="F20" s="15">
        <v>75</v>
      </c>
      <c r="G20" s="15">
        <v>100</v>
      </c>
      <c r="H20" s="15" t="s">
        <v>129</v>
      </c>
      <c r="I20" s="16" t="str">
        <f t="shared" si="1"/>
        <v>Excellent</v>
      </c>
    </row>
    <row r="21" spans="1:9" ht="16.5" x14ac:dyDescent="0.3">
      <c r="A21" s="14" t="s">
        <v>28</v>
      </c>
      <c r="B21" s="15" t="s">
        <v>83</v>
      </c>
      <c r="C21" s="15">
        <v>19</v>
      </c>
      <c r="D21" s="15" t="s">
        <v>117</v>
      </c>
      <c r="E21" s="15" t="s">
        <v>121</v>
      </c>
      <c r="F21" s="15">
        <v>82</v>
      </c>
      <c r="G21" s="15">
        <v>95</v>
      </c>
      <c r="H21" s="15" t="s">
        <v>130</v>
      </c>
      <c r="I21" s="16" t="str">
        <f t="shared" si="1"/>
        <v>Excellent</v>
      </c>
    </row>
    <row r="22" spans="1:9" ht="16.5" x14ac:dyDescent="0.3">
      <c r="A22" s="14" t="s">
        <v>29</v>
      </c>
      <c r="B22" s="15" t="s">
        <v>84</v>
      </c>
      <c r="C22" s="15">
        <v>19</v>
      </c>
      <c r="D22" s="15" t="s">
        <v>117</v>
      </c>
      <c r="E22" s="15" t="s">
        <v>119</v>
      </c>
      <c r="F22" s="15">
        <v>69</v>
      </c>
      <c r="G22" s="15">
        <v>92</v>
      </c>
      <c r="H22" s="15" t="s">
        <v>132</v>
      </c>
      <c r="I22" s="16" t="str">
        <f t="shared" si="1"/>
        <v>Excellent</v>
      </c>
    </row>
    <row r="23" spans="1:9" ht="16.5" x14ac:dyDescent="0.3">
      <c r="A23" s="14" t="s">
        <v>30</v>
      </c>
      <c r="B23" s="15" t="s">
        <v>85</v>
      </c>
      <c r="C23" s="15">
        <v>22</v>
      </c>
      <c r="D23" s="15" t="s">
        <v>116</v>
      </c>
      <c r="E23" s="15" t="s">
        <v>120</v>
      </c>
      <c r="F23" s="15">
        <v>74</v>
      </c>
      <c r="G23" s="15">
        <v>63</v>
      </c>
      <c r="H23" s="15" t="s">
        <v>130</v>
      </c>
      <c r="I23" s="16" t="s">
        <v>135</v>
      </c>
    </row>
    <row r="24" spans="1:9" ht="16.5" x14ac:dyDescent="0.3">
      <c r="A24" s="14" t="s">
        <v>11</v>
      </c>
      <c r="B24" s="15" t="s">
        <v>66</v>
      </c>
      <c r="C24" s="15">
        <v>21</v>
      </c>
      <c r="D24" s="15" t="s">
        <v>117</v>
      </c>
      <c r="E24" s="15" t="s">
        <v>119</v>
      </c>
      <c r="F24" s="15">
        <v>69</v>
      </c>
      <c r="G24" s="15">
        <v>81</v>
      </c>
      <c r="H24" s="15" t="s">
        <v>132</v>
      </c>
      <c r="I24" s="16" t="str">
        <f t="shared" ref="I24:I35" si="2">IF(G24&gt;90,"Excellent",IF(G24&gt;80,"Good",IF(G24&gt;70,"Average",IF(G24&gt;60,"Needs Improvement","Poor"))))</f>
        <v>Good</v>
      </c>
    </row>
    <row r="25" spans="1:9" ht="16.5" x14ac:dyDescent="0.3">
      <c r="A25" s="14" t="s">
        <v>31</v>
      </c>
      <c r="B25" s="15" t="s">
        <v>86</v>
      </c>
      <c r="C25" s="15">
        <v>23</v>
      </c>
      <c r="D25" s="15" t="s">
        <v>116</v>
      </c>
      <c r="E25" s="15" t="s">
        <v>121</v>
      </c>
      <c r="F25" s="15">
        <v>89</v>
      </c>
      <c r="G25" s="15">
        <v>58</v>
      </c>
      <c r="H25" s="15" t="s">
        <v>129</v>
      </c>
      <c r="I25" s="16" t="str">
        <f t="shared" si="2"/>
        <v>Poor</v>
      </c>
    </row>
    <row r="26" spans="1:9" ht="16.5" x14ac:dyDescent="0.3">
      <c r="A26" s="14" t="s">
        <v>32</v>
      </c>
      <c r="B26" s="15" t="s">
        <v>87</v>
      </c>
      <c r="C26" s="15">
        <v>22</v>
      </c>
      <c r="D26" s="15" t="s">
        <v>117</v>
      </c>
      <c r="E26" s="15" t="s">
        <v>119</v>
      </c>
      <c r="F26" s="15">
        <v>51</v>
      </c>
      <c r="G26" s="15">
        <v>85</v>
      </c>
      <c r="H26" s="15" t="s">
        <v>129</v>
      </c>
      <c r="I26" s="16" t="str">
        <f t="shared" si="2"/>
        <v>Good</v>
      </c>
    </row>
    <row r="27" spans="1:9" ht="16.5" x14ac:dyDescent="0.3">
      <c r="A27" s="14" t="s">
        <v>33</v>
      </c>
      <c r="B27" s="15" t="s">
        <v>88</v>
      </c>
      <c r="C27" s="15">
        <v>21</v>
      </c>
      <c r="D27" s="15" t="s">
        <v>117</v>
      </c>
      <c r="E27" s="15" t="s">
        <v>120</v>
      </c>
      <c r="F27" s="15">
        <v>63</v>
      </c>
      <c r="G27" s="15">
        <v>98</v>
      </c>
      <c r="H27" s="15" t="s">
        <v>130</v>
      </c>
      <c r="I27" s="16" t="str">
        <f t="shared" si="2"/>
        <v>Excellent</v>
      </c>
    </row>
    <row r="28" spans="1:9" ht="16.5" x14ac:dyDescent="0.3">
      <c r="A28" s="14" t="s">
        <v>34</v>
      </c>
      <c r="B28" s="15" t="s">
        <v>89</v>
      </c>
      <c r="C28" s="15">
        <v>21</v>
      </c>
      <c r="D28" s="15" t="s">
        <v>117</v>
      </c>
      <c r="E28" s="15" t="s">
        <v>120</v>
      </c>
      <c r="F28" s="15">
        <v>87</v>
      </c>
      <c r="G28" s="15">
        <v>79</v>
      </c>
      <c r="H28" s="15" t="s">
        <v>129</v>
      </c>
      <c r="I28" s="16" t="str">
        <f t="shared" si="2"/>
        <v>Average</v>
      </c>
    </row>
    <row r="29" spans="1:9" ht="16.5" x14ac:dyDescent="0.3">
      <c r="A29" s="14" t="s">
        <v>35</v>
      </c>
      <c r="B29" s="15" t="s">
        <v>90</v>
      </c>
      <c r="C29" s="15">
        <v>20</v>
      </c>
      <c r="D29" s="15" t="s">
        <v>117</v>
      </c>
      <c r="E29" s="15" t="s">
        <v>122</v>
      </c>
      <c r="F29" s="15">
        <v>97</v>
      </c>
      <c r="G29" s="15">
        <v>80</v>
      </c>
      <c r="H29" s="15" t="s">
        <v>130</v>
      </c>
      <c r="I29" s="16" t="str">
        <f t="shared" si="2"/>
        <v>Average</v>
      </c>
    </row>
    <row r="30" spans="1:9" ht="16.5" x14ac:dyDescent="0.3">
      <c r="A30" s="14" t="s">
        <v>36</v>
      </c>
      <c r="B30" s="15" t="s">
        <v>91</v>
      </c>
      <c r="C30" s="15">
        <v>24</v>
      </c>
      <c r="D30" s="15" t="s">
        <v>116</v>
      </c>
      <c r="E30" s="15" t="s">
        <v>120</v>
      </c>
      <c r="F30" s="15">
        <v>76</v>
      </c>
      <c r="G30" s="15">
        <v>64</v>
      </c>
      <c r="H30" s="15" t="s">
        <v>126</v>
      </c>
      <c r="I30" s="16" t="str">
        <f t="shared" si="2"/>
        <v>Needs Improvement</v>
      </c>
    </row>
    <row r="31" spans="1:9" ht="16.5" x14ac:dyDescent="0.3">
      <c r="A31" s="14" t="s">
        <v>37</v>
      </c>
      <c r="B31" s="15" t="s">
        <v>92</v>
      </c>
      <c r="C31" s="15">
        <v>20</v>
      </c>
      <c r="D31" s="15" t="s">
        <v>116</v>
      </c>
      <c r="E31" s="15" t="s">
        <v>121</v>
      </c>
      <c r="F31" s="15">
        <v>77</v>
      </c>
      <c r="G31" s="15">
        <v>90</v>
      </c>
      <c r="H31" s="15" t="s">
        <v>129</v>
      </c>
      <c r="I31" s="16" t="str">
        <f t="shared" si="2"/>
        <v>Good</v>
      </c>
    </row>
    <row r="32" spans="1:9" ht="16.5" x14ac:dyDescent="0.3">
      <c r="A32" s="14" t="s">
        <v>38</v>
      </c>
      <c r="B32" s="15" t="s">
        <v>93</v>
      </c>
      <c r="C32" s="15">
        <v>21</v>
      </c>
      <c r="D32" s="15" t="s">
        <v>116</v>
      </c>
      <c r="E32" s="15" t="s">
        <v>121</v>
      </c>
      <c r="F32" s="15">
        <v>55</v>
      </c>
      <c r="G32" s="15">
        <v>59</v>
      </c>
      <c r="H32" s="15" t="s">
        <v>125</v>
      </c>
      <c r="I32" s="16" t="str">
        <f t="shared" si="2"/>
        <v>Poor</v>
      </c>
    </row>
    <row r="33" spans="1:9" ht="16.5" x14ac:dyDescent="0.3">
      <c r="A33" s="14" t="s">
        <v>39</v>
      </c>
      <c r="B33" s="15" t="s">
        <v>94</v>
      </c>
      <c r="C33" s="15">
        <v>19</v>
      </c>
      <c r="D33" s="15" t="s">
        <v>116</v>
      </c>
      <c r="E33" s="15" t="s">
        <v>121</v>
      </c>
      <c r="F33" s="15">
        <v>73</v>
      </c>
      <c r="G33" s="15">
        <v>67</v>
      </c>
      <c r="H33" s="15" t="s">
        <v>125</v>
      </c>
      <c r="I33" s="16" t="str">
        <f t="shared" si="2"/>
        <v>Needs Improvement</v>
      </c>
    </row>
    <row r="34" spans="1:9" ht="16.5" x14ac:dyDescent="0.3">
      <c r="A34" s="14" t="s">
        <v>40</v>
      </c>
      <c r="B34" s="15" t="s">
        <v>95</v>
      </c>
      <c r="C34" s="15">
        <v>21</v>
      </c>
      <c r="D34" s="15" t="s">
        <v>116</v>
      </c>
      <c r="E34" s="15" t="s">
        <v>121</v>
      </c>
      <c r="F34" s="15">
        <v>78</v>
      </c>
      <c r="G34" s="15">
        <v>72</v>
      </c>
      <c r="H34" s="15" t="s">
        <v>130</v>
      </c>
      <c r="I34" s="16" t="str">
        <f t="shared" si="2"/>
        <v>Average</v>
      </c>
    </row>
    <row r="35" spans="1:9" ht="16.5" x14ac:dyDescent="0.3">
      <c r="A35" s="14" t="s">
        <v>41</v>
      </c>
      <c r="B35" s="15" t="s">
        <v>96</v>
      </c>
      <c r="C35" s="15">
        <v>19</v>
      </c>
      <c r="D35" s="15" t="s">
        <v>117</v>
      </c>
      <c r="E35" s="15" t="s">
        <v>121</v>
      </c>
      <c r="F35" s="15">
        <v>62</v>
      </c>
      <c r="G35" s="15">
        <v>76</v>
      </c>
      <c r="H35" s="15" t="s">
        <v>129</v>
      </c>
      <c r="I35" s="16" t="str">
        <f t="shared" si="2"/>
        <v>Average</v>
      </c>
    </row>
    <row r="36" spans="1:9" ht="16.5" x14ac:dyDescent="0.3">
      <c r="A36" s="14" t="s">
        <v>42</v>
      </c>
      <c r="B36" s="15" t="s">
        <v>97</v>
      </c>
      <c r="C36" s="15">
        <v>25</v>
      </c>
      <c r="D36" s="15" t="s">
        <v>117</v>
      </c>
      <c r="E36" s="15" t="s">
        <v>121</v>
      </c>
      <c r="F36" s="15">
        <v>64</v>
      </c>
      <c r="G36" s="15">
        <v>62</v>
      </c>
      <c r="H36" s="15" t="s">
        <v>125</v>
      </c>
      <c r="I36" s="16" t="s">
        <v>135</v>
      </c>
    </row>
    <row r="37" spans="1:9" ht="16.5" x14ac:dyDescent="0.3">
      <c r="A37" s="14" t="s">
        <v>43</v>
      </c>
      <c r="B37" s="15" t="s">
        <v>98</v>
      </c>
      <c r="C37" s="15">
        <v>22</v>
      </c>
      <c r="D37" s="15" t="s">
        <v>116</v>
      </c>
      <c r="E37" s="15" t="s">
        <v>119</v>
      </c>
      <c r="F37" s="15">
        <v>69</v>
      </c>
      <c r="G37" s="15">
        <v>56</v>
      </c>
      <c r="H37" s="15" t="s">
        <v>128</v>
      </c>
      <c r="I37" s="16" t="str">
        <f t="shared" ref="I37:I47" si="3">IF(G37&gt;90,"Excellent",IF(G37&gt;80,"Good",IF(G37&gt;70,"Average",IF(G37&gt;60,"Needs Improvement","Poor"))))</f>
        <v>Poor</v>
      </c>
    </row>
    <row r="38" spans="1:9" ht="16.5" x14ac:dyDescent="0.3">
      <c r="A38" s="14" t="s">
        <v>44</v>
      </c>
      <c r="B38" s="15" t="s">
        <v>99</v>
      </c>
      <c r="C38" s="15">
        <v>21</v>
      </c>
      <c r="D38" s="15" t="s">
        <v>116</v>
      </c>
      <c r="E38" s="15" t="s">
        <v>122</v>
      </c>
      <c r="F38" s="15">
        <v>51</v>
      </c>
      <c r="G38" s="15">
        <v>82</v>
      </c>
      <c r="H38" s="15" t="s">
        <v>127</v>
      </c>
      <c r="I38" s="16" t="str">
        <f t="shared" si="3"/>
        <v>Good</v>
      </c>
    </row>
    <row r="39" spans="1:9" ht="16.5" x14ac:dyDescent="0.3">
      <c r="A39" s="14" t="s">
        <v>45</v>
      </c>
      <c r="B39" s="15" t="s">
        <v>100</v>
      </c>
      <c r="C39" s="15">
        <v>19</v>
      </c>
      <c r="D39" s="15" t="s">
        <v>117</v>
      </c>
      <c r="E39" s="15" t="s">
        <v>122</v>
      </c>
      <c r="F39" s="15">
        <v>66</v>
      </c>
      <c r="G39" s="15">
        <v>65</v>
      </c>
      <c r="H39" s="15" t="s">
        <v>125</v>
      </c>
      <c r="I39" s="16" t="str">
        <f t="shared" si="3"/>
        <v>Needs Improvement</v>
      </c>
    </row>
    <row r="40" spans="1:9" ht="16.5" x14ac:dyDescent="0.3">
      <c r="A40" s="14" t="s">
        <v>46</v>
      </c>
      <c r="B40" s="15" t="s">
        <v>101</v>
      </c>
      <c r="C40" s="15">
        <v>22</v>
      </c>
      <c r="D40" s="15" t="s">
        <v>116</v>
      </c>
      <c r="E40" s="15" t="s">
        <v>122</v>
      </c>
      <c r="F40" s="15">
        <v>61</v>
      </c>
      <c r="G40" s="15">
        <v>80</v>
      </c>
      <c r="H40" s="15" t="s">
        <v>128</v>
      </c>
      <c r="I40" s="16" t="str">
        <f t="shared" si="3"/>
        <v>Average</v>
      </c>
    </row>
    <row r="41" spans="1:9" ht="16.5" x14ac:dyDescent="0.3">
      <c r="A41" s="14" t="s">
        <v>47</v>
      </c>
      <c r="B41" s="15" t="s">
        <v>102</v>
      </c>
      <c r="C41" s="15">
        <v>21</v>
      </c>
      <c r="D41" s="15" t="s">
        <v>116</v>
      </c>
      <c r="E41" s="15" t="s">
        <v>122</v>
      </c>
      <c r="F41" s="15">
        <v>67</v>
      </c>
      <c r="G41" s="15">
        <v>58</v>
      </c>
      <c r="H41" s="15" t="s">
        <v>130</v>
      </c>
      <c r="I41" s="16" t="str">
        <f t="shared" si="3"/>
        <v>Poor</v>
      </c>
    </row>
    <row r="42" spans="1:9" ht="16.5" x14ac:dyDescent="0.3">
      <c r="A42" s="14" t="s">
        <v>48</v>
      </c>
      <c r="B42" s="15" t="s">
        <v>103</v>
      </c>
      <c r="C42" s="15">
        <v>22</v>
      </c>
      <c r="D42" s="15" t="s">
        <v>116</v>
      </c>
      <c r="E42" s="15" t="s">
        <v>122</v>
      </c>
      <c r="F42" s="15">
        <v>56</v>
      </c>
      <c r="G42" s="15">
        <v>75</v>
      </c>
      <c r="H42" s="15" t="s">
        <v>125</v>
      </c>
      <c r="I42" s="16" t="str">
        <f t="shared" si="3"/>
        <v>Average</v>
      </c>
    </row>
    <row r="43" spans="1:9" ht="16.5" x14ac:dyDescent="0.3">
      <c r="A43" s="14" t="s">
        <v>9</v>
      </c>
      <c r="B43" s="15" t="s">
        <v>64</v>
      </c>
      <c r="C43" s="15">
        <v>19</v>
      </c>
      <c r="D43" s="15" t="s">
        <v>117</v>
      </c>
      <c r="E43" s="15" t="s">
        <v>119</v>
      </c>
      <c r="F43" s="15">
        <v>74</v>
      </c>
      <c r="G43" s="15">
        <v>68</v>
      </c>
      <c r="H43" s="15" t="s">
        <v>125</v>
      </c>
      <c r="I43" s="16" t="str">
        <f t="shared" si="3"/>
        <v>Needs Improvement</v>
      </c>
    </row>
    <row r="44" spans="1:9" ht="16.5" x14ac:dyDescent="0.3">
      <c r="A44" s="14" t="s">
        <v>49</v>
      </c>
      <c r="B44" s="15" t="s">
        <v>104</v>
      </c>
      <c r="C44" s="15">
        <v>22</v>
      </c>
      <c r="D44" s="15" t="s">
        <v>116</v>
      </c>
      <c r="E44" s="15" t="s">
        <v>122</v>
      </c>
      <c r="F44" s="15">
        <v>96</v>
      </c>
      <c r="G44" s="15">
        <v>78</v>
      </c>
      <c r="H44" s="15" t="s">
        <v>124</v>
      </c>
      <c r="I44" s="16" t="str">
        <f t="shared" si="3"/>
        <v>Average</v>
      </c>
    </row>
    <row r="45" spans="1:9" ht="16.5" x14ac:dyDescent="0.3">
      <c r="A45" s="14" t="s">
        <v>50</v>
      </c>
      <c r="B45" s="15" t="s">
        <v>105</v>
      </c>
      <c r="C45" s="15">
        <v>23</v>
      </c>
      <c r="D45" s="15" t="s">
        <v>116</v>
      </c>
      <c r="E45" s="15" t="s">
        <v>119</v>
      </c>
      <c r="F45" s="15">
        <v>81</v>
      </c>
      <c r="G45" s="15">
        <v>52</v>
      </c>
      <c r="H45" s="15" t="s">
        <v>128</v>
      </c>
      <c r="I45" s="16" t="str">
        <f t="shared" si="3"/>
        <v>Poor</v>
      </c>
    </row>
    <row r="46" spans="1:9" ht="16.5" x14ac:dyDescent="0.3">
      <c r="A46" s="14" t="s">
        <v>51</v>
      </c>
      <c r="B46" s="15" t="s">
        <v>106</v>
      </c>
      <c r="C46" s="15">
        <v>22</v>
      </c>
      <c r="D46" s="15" t="s">
        <v>117</v>
      </c>
      <c r="E46" s="15" t="s">
        <v>122</v>
      </c>
      <c r="F46" s="15">
        <v>85</v>
      </c>
      <c r="G46" s="15">
        <v>67</v>
      </c>
      <c r="H46" s="15" t="s">
        <v>129</v>
      </c>
      <c r="I46" s="16" t="str">
        <f t="shared" si="3"/>
        <v>Needs Improvement</v>
      </c>
    </row>
    <row r="47" spans="1:9" ht="16.5" x14ac:dyDescent="0.3">
      <c r="A47" s="14" t="s">
        <v>52</v>
      </c>
      <c r="B47" s="15" t="s">
        <v>107</v>
      </c>
      <c r="C47" s="15">
        <v>22</v>
      </c>
      <c r="D47" s="15" t="s">
        <v>116</v>
      </c>
      <c r="E47" s="15" t="s">
        <v>121</v>
      </c>
      <c r="F47" s="15">
        <v>91</v>
      </c>
      <c r="G47" s="15">
        <v>57</v>
      </c>
      <c r="H47" s="15" t="s">
        <v>125</v>
      </c>
      <c r="I47" s="16" t="str">
        <f t="shared" si="3"/>
        <v>Poor</v>
      </c>
    </row>
    <row r="48" spans="1:9" ht="16.5" x14ac:dyDescent="0.3">
      <c r="A48" s="14" t="s">
        <v>53</v>
      </c>
      <c r="B48" s="15" t="s">
        <v>108</v>
      </c>
      <c r="C48" s="15">
        <v>22</v>
      </c>
      <c r="D48" s="15" t="s">
        <v>117</v>
      </c>
      <c r="E48" s="15" t="s">
        <v>120</v>
      </c>
      <c r="F48" s="15">
        <v>76</v>
      </c>
      <c r="G48" s="15">
        <v>53</v>
      </c>
      <c r="H48" s="15" t="s">
        <v>124</v>
      </c>
      <c r="I48" s="16" t="s">
        <v>133</v>
      </c>
    </row>
    <row r="49" spans="1:9" ht="16.5" x14ac:dyDescent="0.3">
      <c r="A49" s="14" t="s">
        <v>54</v>
      </c>
      <c r="B49" s="15" t="s">
        <v>109</v>
      </c>
      <c r="C49" s="15">
        <v>25</v>
      </c>
      <c r="D49" s="15" t="s">
        <v>116</v>
      </c>
      <c r="E49" s="15" t="s">
        <v>121</v>
      </c>
      <c r="F49" s="15">
        <v>54</v>
      </c>
      <c r="G49" s="15">
        <v>55</v>
      </c>
      <c r="H49" s="15" t="s">
        <v>125</v>
      </c>
      <c r="I49" s="16" t="str">
        <f t="shared" ref="I49:I55" si="4">IF(G49&gt;90,"Excellent",IF(G49&gt;80,"Good",IF(G49&gt;70,"Average",IF(G49&gt;60,"Needs Improvement","Poor"))))</f>
        <v>Poor</v>
      </c>
    </row>
    <row r="50" spans="1:9" ht="16.5" x14ac:dyDescent="0.3">
      <c r="A50" s="14" t="s">
        <v>55</v>
      </c>
      <c r="B50" s="15" t="s">
        <v>110</v>
      </c>
      <c r="C50" s="15">
        <v>19</v>
      </c>
      <c r="D50" s="15" t="s">
        <v>116</v>
      </c>
      <c r="E50" s="15" t="s">
        <v>119</v>
      </c>
      <c r="F50" s="15">
        <v>78</v>
      </c>
      <c r="G50" s="15">
        <v>66</v>
      </c>
      <c r="H50" s="15" t="s">
        <v>130</v>
      </c>
      <c r="I50" s="16" t="str">
        <f t="shared" si="4"/>
        <v>Needs Improvement</v>
      </c>
    </row>
    <row r="51" spans="1:9" ht="16.5" x14ac:dyDescent="0.3">
      <c r="A51" s="14" t="s">
        <v>56</v>
      </c>
      <c r="B51" s="15" t="s">
        <v>111</v>
      </c>
      <c r="C51" s="15">
        <v>20</v>
      </c>
      <c r="D51" s="15" t="s">
        <v>117</v>
      </c>
      <c r="E51" s="15" t="s">
        <v>122</v>
      </c>
      <c r="F51" s="15">
        <v>80</v>
      </c>
      <c r="G51" s="15">
        <v>92</v>
      </c>
      <c r="H51" s="15" t="s">
        <v>125</v>
      </c>
      <c r="I51" s="16" t="str">
        <f t="shared" si="4"/>
        <v>Excellent</v>
      </c>
    </row>
    <row r="52" spans="1:9" ht="16.5" x14ac:dyDescent="0.3">
      <c r="A52" s="14" t="s">
        <v>57</v>
      </c>
      <c r="B52" s="15" t="s">
        <v>112</v>
      </c>
      <c r="C52" s="15">
        <v>21</v>
      </c>
      <c r="D52" s="15" t="s">
        <v>116</v>
      </c>
      <c r="E52" s="15" t="s">
        <v>122</v>
      </c>
      <c r="F52" s="15">
        <v>89</v>
      </c>
      <c r="G52" s="15">
        <v>63</v>
      </c>
      <c r="H52" s="15" t="s">
        <v>126</v>
      </c>
      <c r="I52" s="16" t="str">
        <f t="shared" si="4"/>
        <v>Needs Improvement</v>
      </c>
    </row>
    <row r="53" spans="1:9" ht="16.5" x14ac:dyDescent="0.3">
      <c r="A53" s="14" t="s">
        <v>58</v>
      </c>
      <c r="B53" s="15" t="s">
        <v>113</v>
      </c>
      <c r="C53" s="15">
        <v>25</v>
      </c>
      <c r="D53" s="15" t="s">
        <v>116</v>
      </c>
      <c r="E53" s="15" t="s">
        <v>122</v>
      </c>
      <c r="F53" s="15">
        <v>72</v>
      </c>
      <c r="G53" s="15">
        <v>85</v>
      </c>
      <c r="H53" s="15" t="s">
        <v>127</v>
      </c>
      <c r="I53" s="16" t="str">
        <f t="shared" si="4"/>
        <v>Good</v>
      </c>
    </row>
    <row r="54" spans="1:9" ht="16.5" x14ac:dyDescent="0.3">
      <c r="A54" s="14" t="s">
        <v>59</v>
      </c>
      <c r="B54" s="15" t="s">
        <v>64</v>
      </c>
      <c r="C54" s="15">
        <v>22</v>
      </c>
      <c r="D54" s="15" t="s">
        <v>117</v>
      </c>
      <c r="E54" s="15" t="s">
        <v>122</v>
      </c>
      <c r="F54" s="15">
        <v>56</v>
      </c>
      <c r="G54" s="15">
        <v>89</v>
      </c>
      <c r="H54" s="15" t="s">
        <v>129</v>
      </c>
      <c r="I54" s="16" t="str">
        <f t="shared" si="4"/>
        <v>Good</v>
      </c>
    </row>
    <row r="55" spans="1:9" ht="16.5" x14ac:dyDescent="0.3">
      <c r="A55" s="14" t="s">
        <v>10</v>
      </c>
      <c r="B55" s="15" t="s">
        <v>65</v>
      </c>
      <c r="C55" s="15">
        <v>21</v>
      </c>
      <c r="D55" s="15" t="s">
        <v>116</v>
      </c>
      <c r="E55" s="15" t="s">
        <v>120</v>
      </c>
      <c r="F55" s="15">
        <v>60</v>
      </c>
      <c r="G55" s="15">
        <v>55</v>
      </c>
      <c r="H55" s="15" t="s">
        <v>124</v>
      </c>
      <c r="I55" s="16" t="str">
        <f t="shared" si="4"/>
        <v>Poor</v>
      </c>
    </row>
    <row r="56" spans="1:9" ht="16.5" x14ac:dyDescent="0.3">
      <c r="A56" s="14" t="s">
        <v>60</v>
      </c>
      <c r="B56" s="15" t="s">
        <v>65</v>
      </c>
      <c r="C56" s="15">
        <v>22</v>
      </c>
      <c r="D56" s="15" t="s">
        <v>117</v>
      </c>
      <c r="E56" s="15" t="s">
        <v>121</v>
      </c>
      <c r="F56" s="15">
        <v>64</v>
      </c>
      <c r="G56" s="15">
        <v>81</v>
      </c>
      <c r="H56" s="15" t="s">
        <v>126</v>
      </c>
      <c r="I56" s="16" t="s">
        <v>136</v>
      </c>
    </row>
    <row r="57" spans="1:9" ht="16.5" x14ac:dyDescent="0.3">
      <c r="A57" s="14" t="s">
        <v>61</v>
      </c>
      <c r="B57" s="15" t="s">
        <v>74</v>
      </c>
      <c r="C57" s="15">
        <v>20</v>
      </c>
      <c r="D57" s="15" t="s">
        <v>116</v>
      </c>
      <c r="E57" s="15" t="s">
        <v>122</v>
      </c>
      <c r="F57" s="15">
        <v>69</v>
      </c>
      <c r="G57" s="15">
        <v>74</v>
      </c>
      <c r="H57" s="15" t="s">
        <v>125</v>
      </c>
      <c r="I57" s="16" t="str">
        <f>IF(G57&gt;90,"Excellent",IF(G57&gt;80,"Good",IF(G57&gt;70,"Average",IF(G57&gt;60,"Needs Improvement","Poor"))))</f>
        <v>Average</v>
      </c>
    </row>
    <row r="58" spans="1:9" ht="16.5" x14ac:dyDescent="0.3">
      <c r="A58" s="14" t="s">
        <v>62</v>
      </c>
      <c r="B58" s="15" t="s">
        <v>75</v>
      </c>
      <c r="C58" s="15">
        <v>20</v>
      </c>
      <c r="D58" s="15" t="s">
        <v>116</v>
      </c>
      <c r="E58" s="15" t="s">
        <v>122</v>
      </c>
      <c r="F58" s="15">
        <v>83</v>
      </c>
      <c r="G58" s="15">
        <v>71</v>
      </c>
      <c r="H58" s="15" t="s">
        <v>130</v>
      </c>
      <c r="I58" s="16" t="str">
        <f>IF(G58&gt;90,"Excellent",IF(G58&gt;80,"Good",IF(G58&gt;70,"Average",IF(G58&gt;60,"Needs Improvement","Poor"))))</f>
        <v>Average</v>
      </c>
    </row>
    <row r="59" spans="1:9" ht="16.5" x14ac:dyDescent="0.3">
      <c r="A59" s="17" t="s">
        <v>63</v>
      </c>
      <c r="B59" s="18" t="s">
        <v>76</v>
      </c>
      <c r="C59" s="18">
        <v>22</v>
      </c>
      <c r="D59" s="18" t="s">
        <v>116</v>
      </c>
      <c r="E59" s="18" t="s">
        <v>122</v>
      </c>
      <c r="F59" s="18">
        <v>80</v>
      </c>
      <c r="G59" s="18">
        <v>68</v>
      </c>
      <c r="H59" s="18" t="s">
        <v>124</v>
      </c>
      <c r="I59" s="19" t="str">
        <f>IF(G59&gt;90,"Excellent",IF(G59&gt;80,"Good",IF(G59&gt;70,"Average",IF(G59&gt;60,"Needs Improvement","Poor"))))</f>
        <v>Needs Improvement</v>
      </c>
    </row>
  </sheetData>
  <pageMargins left="0.7" right="0.7" top="0.75" bottom="0.75" header="0.3" footer="0.3"/>
  <pageSetup orientation="portrait" r:id="rId1"/>
  <ignoredErrors>
    <ignoredError sqref="I23 I48 I13 I6 I36 I56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309AC-B2B6-452F-AA77-DDF6498E2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mr sachin</cp:lastModifiedBy>
  <dcterms:created xsi:type="dcterms:W3CDTF">2025-05-29T07:05:42Z</dcterms:created>
  <dcterms:modified xsi:type="dcterms:W3CDTF">2026-04-13T17:15:41Z</dcterms:modified>
</cp:coreProperties>
</file>