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13_ncr:1_{E8A701E3-1C95-4990-8441-4006676FD1C5}" xr6:coauthVersionLast="47" xr6:coauthVersionMax="47" xr10:uidLastSave="{00000000-0000-0000-0000-000000000000}"/>
  <bookViews>
    <workbookView xWindow="-120" yWindow="-120" windowWidth="20730" windowHeight="11160" xr2:uid="{DA99C7F1-DE3B-4806-9F15-150CF66FD513}"/>
  </bookViews>
  <sheets>
    <sheet name="Day 13" sheetId="1" r:id="rId1"/>
  </sheet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05" i="1" l="1"/>
  <c r="AI605" i="1"/>
  <c r="AH605" i="1"/>
  <c r="AG605" i="1"/>
  <c r="AF605" i="1"/>
  <c r="AE605" i="1"/>
  <c r="AD605" i="1"/>
  <c r="AC605" i="1"/>
  <c r="AB605" i="1"/>
  <c r="AA605" i="1"/>
  <c r="Z605" i="1"/>
  <c r="Y605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AJ9" i="1"/>
  <c r="AI9" i="1"/>
  <c r="AH9" i="1"/>
  <c r="AG9" i="1"/>
  <c r="AF9" i="1"/>
  <c r="AE9" i="1"/>
  <c r="AD9" i="1"/>
  <c r="AC9" i="1"/>
  <c r="AB9" i="1"/>
  <c r="AA9" i="1"/>
  <c r="Z9" i="1"/>
  <c r="Y9" i="1"/>
  <c r="AJ8" i="1"/>
  <c r="AI8" i="1"/>
  <c r="AH8" i="1"/>
  <c r="AG8" i="1"/>
  <c r="AF8" i="1"/>
  <c r="AE8" i="1"/>
  <c r="AD8" i="1"/>
  <c r="AC8" i="1"/>
  <c r="AB8" i="1"/>
  <c r="AA8" i="1"/>
  <c r="Z8" i="1"/>
  <c r="Y8" i="1"/>
  <c r="AJ7" i="1"/>
  <c r="AI7" i="1"/>
  <c r="AH7" i="1"/>
  <c r="AG7" i="1"/>
  <c r="AF7" i="1"/>
  <c r="AE7" i="1"/>
  <c r="AD7" i="1"/>
  <c r="AC7" i="1"/>
  <c r="AB7" i="1"/>
  <c r="AA7" i="1"/>
  <c r="Z7" i="1"/>
  <c r="Y7" i="1"/>
  <c r="AJ6" i="1"/>
  <c r="AI6" i="1"/>
  <c r="AH6" i="1"/>
  <c r="AG6" i="1"/>
  <c r="AF6" i="1"/>
  <c r="AE6" i="1"/>
  <c r="AD6" i="1"/>
  <c r="AC6" i="1"/>
  <c r="AB6" i="1"/>
  <c r="AA6" i="1"/>
  <c r="Z6" i="1"/>
  <c r="Y6" i="1"/>
</calcChain>
</file>

<file path=xl/sharedStrings.xml><?xml version="1.0" encoding="utf-8"?>
<sst xmlns="http://schemas.openxmlformats.org/spreadsheetml/2006/main" count="3057" uniqueCount="653">
  <si>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</si>
  <si>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</si>
  <si>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</si>
  <si>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</si>
  <si>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</si>
  <si>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</si>
  <si>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</si>
  <si>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</si>
  <si>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</si>
  <si>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</si>
  <si>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</si>
  <si>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</si>
  <si>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</si>
  <si>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</si>
  <si>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</si>
  <si>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</si>
  <si>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</si>
  <si>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VLOOKUP</t>
  </si>
  <si>
    <t>Shaun Ross</t>
  </si>
  <si>
    <t>AHMEDABAD</t>
  </si>
  <si>
    <t>Sarah Snyder</t>
  </si>
  <si>
    <t>Jackets</t>
  </si>
  <si>
    <t>Puffer Coat</t>
  </si>
  <si>
    <t>MUMBAI</t>
  </si>
  <si>
    <t>B2B</t>
  </si>
  <si>
    <t>Day 13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</si>
  <si>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</si>
  <si>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</si>
  <si>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</si>
  <si>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</si>
  <si>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</si>
  <si>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</si>
  <si>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</si>
  <si>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</si>
  <si>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* Duplicate The Dataset Using Vlookup Function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</si>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</sst>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Percent" xfId="1" builtinId="5"/>
  </cellStyles>
  <dxfs count="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DDCFB-6410-4CBD-B353-5A9625F2EC78}" name="Table101358" displayName="Table101358" ref="A1:L601" totalsRowShown="0" headerRowDxfId="27" dataDxfId="26">
  <autoFilter ref="A1:L601" xr:uid="{1BF73A08-3CD4-40E3-A178-EB021C5A468F}"/>
  <sortState xmlns:xlrd2="http://schemas.microsoft.com/office/spreadsheetml/2017/richdata2" ref="A2:K601">
    <sortCondition ref="A1:A601"/>
  </sortState>
  <tableColumns count="12">
    <tableColumn id="1" xr3:uid="{A71D849C-1292-41BA-A5BF-D111FB332F75}" name="Order_ID" dataDxfId="25"/>
    <tableColumn id="2" xr3:uid="{F5865E1A-4C62-46CD-9C2A-0A753441B240}" name="Customer_Name" dataDxfId="24"/>
    <tableColumn id="3" xr3:uid="{103C0D18-0177-411E-B1DB-0ABADAABC61D}" name="Product_Category" dataDxfId="23"/>
    <tableColumn id="4" xr3:uid="{6AF6B0AB-639F-4E4B-90FE-F1045D1D00FE}" name="Product_Name" dataDxfId="22"/>
    <tableColumn id="7" xr3:uid="{7C93CD3E-D730-4D6B-87AB-0D41C20388BC}" name="Units_Sold2" dataDxfId="21"/>
    <tableColumn id="6" xr3:uid="{92DCB1B6-B8CF-4A54-B3C8-F83036636DB5}" name="Unit_Price" dataDxfId="20"/>
    <tableColumn id="15" xr3:uid="{5C37E812-13B5-4378-A8E1-D4EF6A212DEC}" name="Discount_%2" dataDxfId="19" dataCellStyle="Percent"/>
    <tableColumn id="9" xr3:uid="{6C1A8DFB-422E-427C-8641-6C18D2D2428F}" name="Sales_Amount" dataDxfId="18"/>
    <tableColumn id="10" xr3:uid="{62323FA2-CF0E-420D-8C60-3C426D2A21C9}" name="Order_Date" dataDxfId="17"/>
    <tableColumn id="11" xr3:uid="{D67FC048-1769-4CDA-9316-A85B63F521C0}" name="City" dataDxfId="16"/>
    <tableColumn id="12" xr3:uid="{94417A2B-7451-4CD2-8EBE-E72AB16AA409}" name="Segment" dataDxfId="15"/>
    <tableColumn id="14" xr3:uid="{057BA417-6443-486F-8DFD-DA23F2768B4E}" name="Profit" dataDxfId="1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1E690-563B-43AE-A9A2-6E8ECAE26FC3}" name="Table18" displayName="Table18" ref="Y5:AJ605" totalsRowShown="0" headerRowDxfId="13" dataDxfId="12">
  <autoFilter ref="Y5:AJ605" xr:uid="{3F780C85-F64E-4DB9-9C9D-7445E4D64074}"/>
  <tableColumns count="12">
    <tableColumn id="1" xr3:uid="{91FBC601-8A50-4085-BCCA-E21B9E720DEB}" name="Order_ID" dataDxfId="11">
      <calculatedColumnFormula>VLOOKUP(A2,A$1:$L$601,1,FALSE)</calculatedColumnFormula>
    </tableColumn>
    <tableColumn id="2" xr3:uid="{2B54BE9C-5494-441B-8596-8AC086284839}" name="Customer_Name" dataDxfId="10">
      <calculatedColumnFormula>VLOOKUP(B2,B$1:$L$601,1,FALSE)</calculatedColumnFormula>
    </tableColumn>
    <tableColumn id="3" xr3:uid="{0C6363B5-7B6E-41EE-AA53-42414A19D180}" name="Product_Category" dataDxfId="9">
      <calculatedColumnFormula>VLOOKUP(C2,C$1:$L$601,1,FALSE)</calculatedColumnFormula>
    </tableColumn>
    <tableColumn id="4" xr3:uid="{EE3C1661-D0CF-4655-87F2-38E639BDAF04}" name="Product_Name" dataDxfId="8">
      <calculatedColumnFormula>VLOOKUP(D2,D$1:$L$601,1,FALSE)</calculatedColumnFormula>
    </tableColumn>
    <tableColumn id="5" xr3:uid="{AFB19B8F-1B4D-4C4C-A7B6-A4EE19C77325}" name="Units_Sold2" dataDxfId="7">
      <calculatedColumnFormula>VLOOKUP(E2,E$1:$L$601,1,FALSE)</calculatedColumnFormula>
    </tableColumn>
    <tableColumn id="6" xr3:uid="{F344AA33-1878-4330-A583-B98CAE9AD30D}" name="Unit_Price" dataDxfId="6">
      <calculatedColumnFormula>VLOOKUP(F2,F$1:$L$601,1,FALSE)</calculatedColumnFormula>
    </tableColumn>
    <tableColumn id="7" xr3:uid="{C735E0DD-4749-40AE-A4EF-1D6873E56F33}" name="Discount_%2" dataDxfId="5">
      <calculatedColumnFormula>VLOOKUP(G2,G$1:$L$601,1,FALSE)</calculatedColumnFormula>
    </tableColumn>
    <tableColumn id="8" xr3:uid="{4D219750-ABE9-4ABC-B9D0-A22B18F9ED89}" name="Sales_Amount" dataDxfId="4">
      <calculatedColumnFormula>VLOOKUP(H2,H$1:$L$601,1,FALSE)</calculatedColumnFormula>
    </tableColumn>
    <tableColumn id="9" xr3:uid="{37BEC687-F9E6-4C8E-BB7C-85580652496F}" name="Order_Date" dataDxfId="3">
      <calculatedColumnFormula>VLOOKUP(I2,I$1:$L$601,1,FALSE)</calculatedColumnFormula>
    </tableColumn>
    <tableColumn id="10" xr3:uid="{9CFD1C88-E16A-4AF5-B8E8-6630F8B61755}" name="City" dataDxfId="2">
      <calculatedColumnFormula>VLOOKUP(J2,J$1:$L$601,1,FALSE)</calculatedColumnFormula>
    </tableColumn>
    <tableColumn id="11" xr3:uid="{B321A3CC-7F21-4D28-B163-ABD6C415EDFD}" name="Segment" dataDxfId="1">
      <calculatedColumnFormula>VLOOKUP(K2,K$1:$L$601,1,FALSE)</calculatedColumnFormula>
    </tableColumn>
    <tableColumn id="12" xr3:uid="{5FBC9AFD-2CE6-4B5E-A62A-678595E64CB4}" name="Profit" dataDxfId="0">
      <calculatedColumnFormula>VLOOKUP(L2,L$1:$L$601,1,FALSE)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DEC5-0AB0-4410-9840-8931F2D697B9}">
  <dimension ref="A1:AJ605"/>
  <sheetViews>
    <sheetView tabSelected="1" topLeftCell="Y1" zoomScaleNormal="100" workbookViewId="0">
      <selection activeCell="O6" sqref="O6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23" max="23" width="9.42578125" bestFit="1" customWidth="1"/>
    <col min="25" max="25" width="13.5703125" bestFit="1" customWidth="1"/>
    <col min="26" max="26" width="23.140625" bestFit="1" customWidth="1"/>
    <col min="27" max="27" width="21.42578125" bestFit="1" customWidth="1"/>
    <col min="28" max="28" width="18.85546875" bestFit="1" customWidth="1"/>
    <col min="29" max="29" width="16.140625" bestFit="1" customWidth="1"/>
    <col min="30" max="30" width="14.85546875" bestFit="1" customWidth="1"/>
    <col min="31" max="31" width="16.85546875" bestFit="1" customWidth="1"/>
    <col min="32" max="32" width="18.42578125" bestFit="1" customWidth="1"/>
    <col min="33" max="33" width="15.85546875" bestFit="1" customWidth="1"/>
    <col min="34" max="34" width="12.5703125" bestFit="1" customWidth="1"/>
    <col min="35" max="35" width="13.42578125" bestFit="1" customWidth="1"/>
    <col min="36" max="36" width="12.28515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36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  <c r="AB2" s="10" t="s">
        <v>17</v>
      </c>
      <c r="AC2" s="10"/>
      <c r="AD2" s="10"/>
      <c r="AE2" s="10"/>
      <c r="AF2" s="10"/>
    </row>
    <row r="3" spans="1:36" x14ac:dyDescent="0.25">
      <c r="A3">
        <v>1001</v>
      </c>
      <c r="B3" t="s">
        <v>18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19</v>
      </c>
      <c r="K3" t="s">
        <v>16</v>
      </c>
      <c r="L3" s="2">
        <v>1588.15</v>
      </c>
      <c r="AB3" s="10"/>
      <c r="AC3" s="10"/>
      <c r="AD3" s="10"/>
      <c r="AE3" s="10"/>
      <c r="AF3" s="10"/>
    </row>
    <row r="4" spans="1:36" ht="25.5" x14ac:dyDescent="0.4">
      <c r="A4">
        <v>1002</v>
      </c>
      <c r="B4" t="s">
        <v>20</v>
      </c>
      <c r="C4" t="s">
        <v>21</v>
      </c>
      <c r="D4" t="s">
        <v>22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23</v>
      </c>
      <c r="K4" t="s">
        <v>24</v>
      </c>
      <c r="L4" s="2">
        <v>-158.03</v>
      </c>
      <c r="Q4" s="8" t="s">
        <v>25</v>
      </c>
      <c r="R4" s="9"/>
      <c r="S4" s="9"/>
      <c r="T4" s="9"/>
    </row>
    <row r="5" spans="1:36" x14ac:dyDescent="0.25">
      <c r="A5">
        <v>1003</v>
      </c>
      <c r="B5" t="s">
        <v>26</v>
      </c>
      <c r="C5" t="s">
        <v>27</v>
      </c>
      <c r="D5" t="s">
        <v>28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29</v>
      </c>
      <c r="K5" t="s">
        <v>24</v>
      </c>
      <c r="L5" s="2">
        <v>2296.5</v>
      </c>
      <c r="Y5" s="6" t="s">
        <v>0</v>
      </c>
      <c r="Z5" s="6" t="s">
        <v>1</v>
      </c>
      <c r="AA5" s="6" t="s">
        <v>2</v>
      </c>
      <c r="AB5" s="6" t="s">
        <v>3</v>
      </c>
      <c r="AC5" s="6" t="s">
        <v>4</v>
      </c>
      <c r="AD5" s="6" t="s">
        <v>5</v>
      </c>
      <c r="AE5" s="6" t="s">
        <v>6</v>
      </c>
      <c r="AF5" s="6" t="s">
        <v>7</v>
      </c>
      <c r="AG5" s="6" t="s">
        <v>8</v>
      </c>
      <c r="AH5" s="6" t="s">
        <v>9</v>
      </c>
      <c r="AI5" s="6" t="s">
        <v>10</v>
      </c>
      <c r="AJ5" s="6" t="s">
        <v>11</v>
      </c>
    </row>
    <row r="6" spans="1:36" ht="18.75" x14ac:dyDescent="0.3">
      <c r="A6">
        <v>1004</v>
      </c>
      <c r="B6" t="s">
        <v>30</v>
      </c>
      <c r="C6" t="s">
        <v>31</v>
      </c>
      <c r="D6" t="s">
        <v>32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33</v>
      </c>
      <c r="K6" t="s">
        <v>16</v>
      </c>
      <c r="L6" s="2">
        <v>63.66</v>
      </c>
      <c r="O6" s="11"/>
      <c r="P6" s="7" t="s">
        <v>34</v>
      </c>
      <c r="Y6" s="6">
        <f>VLOOKUP(A2,A$1:$L$601,1,FALSE)</f>
        <v>1000</v>
      </c>
      <c r="Z6" s="6" t="str">
        <f>VLOOKUP(B2,B$1:$L$601,1,FALSE)</f>
        <v>Brian Thompson</v>
      </c>
      <c r="AA6" s="6" t="str">
        <f>VLOOKUP(C2,C$1:$L$601,1,FALSE)</f>
        <v>Jeans</v>
      </c>
      <c r="AB6" s="6" t="str">
        <f>VLOOKUP(D2,D$1:$L$601,1,FALSE)</f>
        <v>Slim Fit Jeans</v>
      </c>
      <c r="AC6" s="6">
        <f>VLOOKUP(E2,E$1:$L$601,1,FALSE)</f>
        <v>2.1052631578947367</v>
      </c>
      <c r="AD6" s="6">
        <f>VLOOKUP(F2,F$1:$L$601,1,FALSE)</f>
        <v>842</v>
      </c>
      <c r="AE6" s="6">
        <f>VLOOKUP(G2,G$1:$L$601,1,FALSE)</f>
        <v>0.6</v>
      </c>
      <c r="AF6" s="6">
        <f>VLOOKUP(H2,H$1:$L$601,1,FALSE)</f>
        <v>0</v>
      </c>
      <c r="AG6" s="6">
        <f>VLOOKUP(I2,I$1:$L$601,1,FALSE)</f>
        <v>45715</v>
      </c>
      <c r="AH6" s="6" t="str">
        <f>VLOOKUP(J2,J$1:$L$601,1,FALSE)</f>
        <v>DELHI</v>
      </c>
      <c r="AI6" s="6" t="str">
        <f>VLOOKUP(K2,K$1:$L$601,1,FALSE)</f>
        <v>B2C</v>
      </c>
      <c r="AJ6" s="6">
        <f>VLOOKUP(L2,L$1:$L$601,1,FALSE)</f>
        <v>2137.4499999999998</v>
      </c>
    </row>
    <row r="7" spans="1:36" x14ac:dyDescent="0.25">
      <c r="A7">
        <v>1005</v>
      </c>
      <c r="B7" t="s">
        <v>35</v>
      </c>
      <c r="C7" t="s">
        <v>36</v>
      </c>
      <c r="D7" t="s">
        <v>37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23</v>
      </c>
      <c r="K7" t="s">
        <v>24</v>
      </c>
      <c r="L7" s="2">
        <v>1477.73</v>
      </c>
      <c r="Y7" s="6">
        <f>VLOOKUP(A3,A$1:$L$601,1,FALSE)</f>
        <v>1001</v>
      </c>
      <c r="Z7" s="6" t="str">
        <f>VLOOKUP(B3,B$1:$L$601,1,FALSE)</f>
        <v>Shaun Ross</v>
      </c>
      <c r="AA7" s="6" t="str">
        <f>VLOOKUP(C3,C$1:$L$601,1,FALSE)</f>
        <v>Jeans</v>
      </c>
      <c r="AB7" s="6" t="str">
        <f>VLOOKUP(D3,D$1:$L$601,1,FALSE)</f>
        <v>Slim Fit Jeans</v>
      </c>
      <c r="AC7" s="6">
        <f>VLOOKUP(E3,E$1:$L$601,1,FALSE)</f>
        <v>1</v>
      </c>
      <c r="AD7" s="6">
        <f>VLOOKUP(F3,F$1:$L$601,1,FALSE)</f>
        <v>2676.4254237288142</v>
      </c>
      <c r="AE7" s="6">
        <f>VLOOKUP(G3,G$1:$L$601,1,FALSE)</f>
        <v>0.58977272727272723</v>
      </c>
      <c r="AF7" s="6">
        <f>VLOOKUP(H3,H$1:$L$601,1,FALSE)</f>
        <v>0</v>
      </c>
      <c r="AG7" s="6">
        <f>VLOOKUP(I3,I$1:$L$601,1,FALSE)</f>
        <v>45853</v>
      </c>
      <c r="AH7" s="6" t="str">
        <f>VLOOKUP(J3,J$1:$L$601,1,FALSE)</f>
        <v>AHMEDABAD</v>
      </c>
      <c r="AI7" s="6" t="str">
        <f>VLOOKUP(K3,K$1:$L$601,1,FALSE)</f>
        <v>B2C</v>
      </c>
      <c r="AJ7" s="6">
        <f>VLOOKUP(L3,L$1:$L$601,1,FALSE)</f>
        <v>1588.15</v>
      </c>
    </row>
    <row r="8" spans="1:36" x14ac:dyDescent="0.25">
      <c r="A8">
        <v>1006</v>
      </c>
      <c r="B8" t="s">
        <v>38</v>
      </c>
      <c r="C8" t="s">
        <v>13</v>
      </c>
      <c r="D8" t="s">
        <v>39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19</v>
      </c>
      <c r="K8" t="s">
        <v>24</v>
      </c>
      <c r="L8" s="2">
        <v>198.36</v>
      </c>
      <c r="Y8" s="6">
        <f>VLOOKUP(A4,A$1:$L$601,1,FALSE)</f>
        <v>1002</v>
      </c>
      <c r="Z8" s="6" t="str">
        <f>VLOOKUP(B4,B$1:$L$601,1,FALSE)</f>
        <v>Sarah Snyder</v>
      </c>
      <c r="AA8" s="6" t="str">
        <f>VLOOKUP(C4,C$1:$L$601,1,FALSE)</f>
        <v>Jackets</v>
      </c>
      <c r="AB8" s="6" t="str">
        <f>VLOOKUP(D4,D$1:$L$601,1,FALSE)</f>
        <v>Puffer Coat</v>
      </c>
      <c r="AC8" s="6">
        <f>VLOOKUP(E4,E$1:$L$601,1,FALSE)</f>
        <v>1</v>
      </c>
      <c r="AD8" s="6">
        <f>VLOOKUP(F4,F$1:$L$601,1,FALSE)</f>
        <v>637.82000000000005</v>
      </c>
      <c r="AE8" s="6">
        <f>VLOOKUP(G4,G$1:$L$601,1,FALSE)</f>
        <v>0.69969696969696993</v>
      </c>
      <c r="AF8" s="6">
        <f>VLOOKUP(H4,H$1:$L$601,1,FALSE)</f>
        <v>0</v>
      </c>
      <c r="AG8" s="6">
        <f>VLOOKUP(I4,I$1:$L$601,1,FALSE)</f>
        <v>45689</v>
      </c>
      <c r="AH8" s="6" t="str">
        <f>VLOOKUP(J4,J$1:$L$601,1,FALSE)</f>
        <v>MUMBAI</v>
      </c>
      <c r="AI8" s="6" t="str">
        <f>VLOOKUP(K4,K$1:$L$601,1,FALSE)</f>
        <v>B2B</v>
      </c>
      <c r="AJ8" s="6">
        <f>VLOOKUP(L4,L$1:$L$601,1,FALSE)</f>
        <v>-158.03</v>
      </c>
    </row>
    <row r="9" spans="1:36" x14ac:dyDescent="0.25">
      <c r="A9">
        <v>1007</v>
      </c>
      <c r="B9" t="s">
        <v>40</v>
      </c>
      <c r="C9" t="s">
        <v>41</v>
      </c>
      <c r="D9" t="s">
        <v>42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29</v>
      </c>
      <c r="K9" t="s">
        <v>16</v>
      </c>
      <c r="L9" s="2">
        <v>2490.0100000000002</v>
      </c>
      <c r="Y9" s="6">
        <f>VLOOKUP(A5,A$1:$L$601,1,FALSE)</f>
        <v>1003</v>
      </c>
      <c r="Z9" s="6" t="str">
        <f>VLOOKUP(B5,B$1:$L$601,1,FALSE)</f>
        <v>Jay Briggs</v>
      </c>
      <c r="AA9" s="6" t="str">
        <f>VLOOKUP(C5,C$1:$L$601,1,FALSE)</f>
        <v>Shoes</v>
      </c>
      <c r="AB9" s="6" t="str">
        <f>VLOOKUP(D5,D$1:$L$601,1,FALSE)</f>
        <v>Loafers</v>
      </c>
      <c r="AC9" s="6">
        <f>VLOOKUP(E5,E$1:$L$601,1,FALSE)</f>
        <v>2</v>
      </c>
      <c r="AD9" s="6">
        <f>VLOOKUP(F5,F$1:$L$601,1,FALSE)</f>
        <v>2962.27</v>
      </c>
      <c r="AE9" s="6">
        <f>VLOOKUP(G5,G$1:$L$601,1,FALSE)</f>
        <v>0.59740740740740739</v>
      </c>
      <c r="AF9" s="6">
        <f>VLOOKUP(H5,H$1:$L$601,1,FALSE)</f>
        <v>0</v>
      </c>
      <c r="AG9" s="6">
        <f>VLOOKUP(I5,I$1:$L$601,1,FALSE)</f>
        <v>45826</v>
      </c>
      <c r="AH9" s="6" t="str">
        <f>VLOOKUP(J5,J$1:$L$601,1,FALSE)</f>
        <v>BANGALORE</v>
      </c>
      <c r="AI9" s="6" t="str">
        <f>VLOOKUP(K5,K$1:$L$601,1,FALSE)</f>
        <v>B2B</v>
      </c>
      <c r="AJ9" s="6">
        <f>VLOOKUP(L5,L$1:$L$601,1,FALSE)</f>
        <v>2296.5</v>
      </c>
    </row>
    <row r="10" spans="1:36" x14ac:dyDescent="0.25">
      <c r="A10">
        <v>1008</v>
      </c>
      <c r="B10" t="s">
        <v>43</v>
      </c>
      <c r="C10" t="s">
        <v>31</v>
      </c>
      <c r="D10" t="s">
        <v>44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19</v>
      </c>
      <c r="K10" t="s">
        <v>16</v>
      </c>
      <c r="L10" s="2">
        <v>-886.8</v>
      </c>
      <c r="Y10" s="6">
        <f>VLOOKUP(A6,A$1:$L$601,1,FALSE)</f>
        <v>1004</v>
      </c>
      <c r="Z10" s="6" t="str">
        <f>VLOOKUP(B6,B$1:$L$601,1,FALSE)</f>
        <v>Maria Blake</v>
      </c>
      <c r="AA10" s="6" t="str">
        <f>VLOOKUP(C6,C$1:$L$601,1,FALSE)</f>
        <v>Accessories</v>
      </c>
      <c r="AB10" s="6" t="str">
        <f>VLOOKUP(D6,D$1:$L$601,1,FALSE)</f>
        <v>Belts</v>
      </c>
      <c r="AC10" s="6">
        <f>VLOOKUP(E6,E$1:$L$601,1,FALSE)</f>
        <v>1</v>
      </c>
      <c r="AD10" s="6">
        <f>VLOOKUP(F6,F$1:$L$601,1,FALSE)</f>
        <v>2881.07</v>
      </c>
      <c r="AE10" s="6">
        <f>VLOOKUP(G6,G$1:$L$601,1,FALSE)</f>
        <v>0.27</v>
      </c>
      <c r="AF10" s="6">
        <f>VLOOKUP(H6,H$1:$L$601,1,FALSE)</f>
        <v>2103.1799999999998</v>
      </c>
      <c r="AG10" s="6">
        <f>VLOOKUP(I6,I$1:$L$601,1,FALSE)</f>
        <v>45626.838268792708</v>
      </c>
      <c r="AH10" s="6" t="str">
        <f>VLOOKUP(J6,J$1:$L$601,1,FALSE)</f>
        <v>HYDERBAD</v>
      </c>
      <c r="AI10" s="6" t="str">
        <f>VLOOKUP(K6,K$1:$L$601,1,FALSE)</f>
        <v>B2C</v>
      </c>
      <c r="AJ10" s="6">
        <f>VLOOKUP(L6,L$1:$L$601,1,FALSE)</f>
        <v>63.66</v>
      </c>
    </row>
    <row r="11" spans="1:36" x14ac:dyDescent="0.25">
      <c r="A11">
        <v>1009</v>
      </c>
      <c r="B11" t="s">
        <v>45</v>
      </c>
      <c r="C11" t="s">
        <v>36</v>
      </c>
      <c r="D11" t="s">
        <v>46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29</v>
      </c>
      <c r="K11" t="s">
        <v>24</v>
      </c>
      <c r="L11" s="2">
        <v>-972.73</v>
      </c>
      <c r="Q11" s="11"/>
      <c r="Y11" s="6">
        <f>VLOOKUP(A7,A$1:$L$601,1,FALSE)</f>
        <v>1005</v>
      </c>
      <c r="Z11" s="6" t="str">
        <f>VLOOKUP(B7,B$1:$L$601,1,FALSE)</f>
        <v>Samuel Miller</v>
      </c>
      <c r="AA11" s="6" t="str">
        <f>VLOOKUP(C7,C$1:$L$601,1,FALSE)</f>
        <v>T-Shirts</v>
      </c>
      <c r="AB11" s="6" t="str">
        <f>VLOOKUP(D7,D$1:$L$601,1,FALSE)</f>
        <v>Crop Top</v>
      </c>
      <c r="AC11" s="6">
        <f>VLOOKUP(E7,E$1:$L$601,1,FALSE)</f>
        <v>1.5178571428571428</v>
      </c>
      <c r="AD11" s="6">
        <f>VLOOKUP(F7,F$1:$L$601,1,FALSE)</f>
        <v>2742.2927659574466</v>
      </c>
      <c r="AE11" s="6">
        <f>VLOOKUP(G7,G$1:$L$601,1,FALSE)</f>
        <v>0.65787878787878773</v>
      </c>
      <c r="AF11" s="6">
        <f>VLOOKUP(H7,H$1:$L$601,1,FALSE)</f>
        <v>0</v>
      </c>
      <c r="AG11" s="6">
        <f>VLOOKUP(I7,I$1:$L$601,1,FALSE)</f>
        <v>45265</v>
      </c>
      <c r="AH11" s="6" t="str">
        <f>VLOOKUP(J7,J$1:$L$601,1,FALSE)</f>
        <v>MUMBAI</v>
      </c>
      <c r="AI11" s="6" t="str">
        <f>VLOOKUP(K7,K$1:$L$601,1,FALSE)</f>
        <v>B2B</v>
      </c>
      <c r="AJ11" s="6">
        <f>VLOOKUP(L7,L$1:$L$601,1,FALSE)</f>
        <v>1477.73</v>
      </c>
    </row>
    <row r="12" spans="1:36" x14ac:dyDescent="0.25">
      <c r="A12">
        <v>1010</v>
      </c>
      <c r="B12" t="s">
        <v>47</v>
      </c>
      <c r="C12" t="s">
        <v>36</v>
      </c>
      <c r="D12" t="s">
        <v>37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48</v>
      </c>
      <c r="K12" t="s">
        <v>24</v>
      </c>
      <c r="L12" s="2">
        <v>-950.38</v>
      </c>
      <c r="Q12" s="11"/>
      <c r="Y12" s="6">
        <f>VLOOKUP(A8,A$1:$L$601,1,FALSE)</f>
        <v>1006</v>
      </c>
      <c r="Z12" s="6" t="str">
        <f>VLOOKUP(B8,B$1:$L$601,1,FALSE)</f>
        <v>John Mclean</v>
      </c>
      <c r="AA12" s="6" t="str">
        <f>VLOOKUP(C8,C$1:$L$601,1,FALSE)</f>
        <v>Jeans</v>
      </c>
      <c r="AB12" s="6" t="str">
        <f>VLOOKUP(D8,D$1:$L$601,1,FALSE)</f>
        <v>Boyfriend Jeans</v>
      </c>
      <c r="AC12" s="6">
        <f>VLOOKUP(E8,E$1:$L$601,1,FALSE)</f>
        <v>1</v>
      </c>
      <c r="AD12" s="6">
        <f>VLOOKUP(F8,F$1:$L$601,1,FALSE)</f>
        <v>2060.85</v>
      </c>
      <c r="AE12" s="6">
        <f>VLOOKUP(G8,G$1:$L$601,1,FALSE)</f>
        <v>0.58977272727272723</v>
      </c>
      <c r="AF12" s="6">
        <f>VLOOKUP(H8,H$1:$L$601,1,FALSE)</f>
        <v>0</v>
      </c>
      <c r="AG12" s="6">
        <f>VLOOKUP(I8,I$1:$L$601,1,FALSE)</f>
        <v>45384</v>
      </c>
      <c r="AH12" s="6" t="str">
        <f>VLOOKUP(J8,J$1:$L$601,1,FALSE)</f>
        <v>AHMEDABAD</v>
      </c>
      <c r="AI12" s="6" t="str">
        <f>VLOOKUP(K8,K$1:$L$601,1,FALSE)</f>
        <v>B2B</v>
      </c>
      <c r="AJ12" s="6">
        <f>VLOOKUP(L8,L$1:$L$601,1,FALSE)</f>
        <v>198.36</v>
      </c>
    </row>
    <row r="13" spans="1:36" x14ac:dyDescent="0.25">
      <c r="A13">
        <v>1011</v>
      </c>
      <c r="B13" t="s">
        <v>49</v>
      </c>
      <c r="C13" t="s">
        <v>31</v>
      </c>
      <c r="D13" t="s">
        <v>32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Y13" s="6">
        <f>VLOOKUP(A9,A$1:$L$601,1,FALSE)</f>
        <v>1007</v>
      </c>
      <c r="Z13" s="6" t="str">
        <f>VLOOKUP(B9,B$1:$L$601,1,FALSE)</f>
        <v>Dr. Kathryn Bass Phd</v>
      </c>
      <c r="AA13" s="6" t="str">
        <f>VLOOKUP(C9,C$1:$L$601,1,FALSE)</f>
        <v>Dresses</v>
      </c>
      <c r="AB13" s="6" t="str">
        <f>VLOOKUP(D9,D$1:$L$601,1,FALSE)</f>
        <v>Casual Midi</v>
      </c>
      <c r="AC13" s="6">
        <f>VLOOKUP(E9,E$1:$L$601,1,FALSE)</f>
        <v>2.1864406779661016</v>
      </c>
      <c r="AD13" s="6">
        <f>VLOOKUP(F9,F$1:$L$601,1,FALSE)</f>
        <v>3669.56</v>
      </c>
      <c r="AE13" s="6">
        <f>VLOOKUP(G9,G$1:$L$601,1,FALSE)</f>
        <v>0.55000000000000004</v>
      </c>
      <c r="AF13" s="6">
        <f>VLOOKUP(H9,H$1:$L$601,1,FALSE)</f>
        <v>0</v>
      </c>
      <c r="AG13" s="6">
        <f>VLOOKUP(I9,I$1:$L$601,1,FALSE)</f>
        <v>45626.838268792708</v>
      </c>
      <c r="AH13" s="6" t="str">
        <f>VLOOKUP(J9,J$1:$L$601,1,FALSE)</f>
        <v>BANGALORE</v>
      </c>
      <c r="AI13" s="6" t="str">
        <f>VLOOKUP(K9,K$1:$L$601,1,FALSE)</f>
        <v>B2C</v>
      </c>
      <c r="AJ13" s="6">
        <f>VLOOKUP(L9,L$1:$L$601,1,FALSE)</f>
        <v>2490.0100000000002</v>
      </c>
    </row>
    <row r="14" spans="1:36" x14ac:dyDescent="0.25">
      <c r="A14">
        <v>1012</v>
      </c>
      <c r="B14" t="s">
        <v>50</v>
      </c>
      <c r="C14" t="s">
        <v>13</v>
      </c>
      <c r="D14" t="s">
        <v>51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19</v>
      </c>
      <c r="K14" t="s">
        <v>16</v>
      </c>
      <c r="L14" s="2">
        <v>843.61</v>
      </c>
      <c r="Y14" s="6">
        <f>VLOOKUP(A10,A$1:$L$601,1,FALSE)</f>
        <v>1008</v>
      </c>
      <c r="Z14" s="6" t="str">
        <f>VLOOKUP(B10,B$1:$L$601,1,FALSE)</f>
        <v>Marie Fisher</v>
      </c>
      <c r="AA14" s="6" t="str">
        <f>VLOOKUP(C10,C$1:$L$601,1,FALSE)</f>
        <v>Accessories</v>
      </c>
      <c r="AB14" s="6" t="str">
        <f>VLOOKUP(D10,D$1:$L$601,1,FALSE)</f>
        <v>Sunglasses</v>
      </c>
      <c r="AC14" s="6">
        <f>VLOOKUP(E10,E$1:$L$601,1,FALSE)</f>
        <v>2.4893617021276597</v>
      </c>
      <c r="AD14" s="6">
        <f>VLOOKUP(F10,F$1:$L$601,1,FALSE)</f>
        <v>2706.1301960784322</v>
      </c>
      <c r="AE14" s="6">
        <f>VLOOKUP(G10,G$1:$L$601,1,FALSE)</f>
        <v>0.70297297297297334</v>
      </c>
      <c r="AF14" s="6">
        <f>VLOOKUP(H10,H$1:$L$601,1,FALSE)</f>
        <v>0</v>
      </c>
      <c r="AG14" s="6">
        <f>VLOOKUP(I10,I$1:$L$601,1,FALSE)</f>
        <v>45626.838268792708</v>
      </c>
      <c r="AH14" s="6" t="str">
        <f>VLOOKUP(J10,J$1:$L$601,1,FALSE)</f>
        <v>AHMEDABAD</v>
      </c>
      <c r="AI14" s="6" t="str">
        <f>VLOOKUP(K10,K$1:$L$601,1,FALSE)</f>
        <v>B2C</v>
      </c>
      <c r="AJ14" s="6">
        <f>VLOOKUP(L10,L$1:$L$601,1,FALSE)</f>
        <v>-886.8</v>
      </c>
    </row>
    <row r="15" spans="1:36" x14ac:dyDescent="0.25">
      <c r="A15">
        <v>1013</v>
      </c>
      <c r="B15" t="s">
        <v>52</v>
      </c>
      <c r="C15" t="s">
        <v>36</v>
      </c>
      <c r="D15" t="s">
        <v>37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48</v>
      </c>
      <c r="K15" t="s">
        <v>16</v>
      </c>
      <c r="L15" s="2">
        <v>1279.58</v>
      </c>
      <c r="Y15" s="6">
        <f>VLOOKUP(A11,A$1:$L$601,1,FALSE)</f>
        <v>1009</v>
      </c>
      <c r="Z15" s="6" t="str">
        <f>VLOOKUP(B11,B$1:$L$601,1,FALSE)</f>
        <v>Dale Perry</v>
      </c>
      <c r="AA15" s="6" t="str">
        <f>VLOOKUP(C11,C$1:$L$601,1,FALSE)</f>
        <v>T-Shirts</v>
      </c>
      <c r="AB15" s="6" t="str">
        <f>VLOOKUP(D11,D$1:$L$601,1,FALSE)</f>
        <v>Oversized T-Shirt</v>
      </c>
      <c r="AC15" s="6">
        <f>VLOOKUP(E11,E$1:$L$601,1,FALSE)</f>
        <v>5</v>
      </c>
      <c r="AD15" s="6">
        <f>VLOOKUP(F11,F$1:$L$601,1,FALSE)</f>
        <v>2742.2927659574466</v>
      </c>
      <c r="AE15" s="6">
        <f>VLOOKUP(G11,G$1:$L$601,1,FALSE)</f>
        <v>0.65787878787878773</v>
      </c>
      <c r="AF15" s="6">
        <f>VLOOKUP(H11,H$1:$L$601,1,FALSE)</f>
        <v>0</v>
      </c>
      <c r="AG15" s="6">
        <f>VLOOKUP(I11,I$1:$L$601,1,FALSE)</f>
        <v>45858</v>
      </c>
      <c r="AH15" s="6" t="str">
        <f>VLOOKUP(J11,J$1:$L$601,1,FALSE)</f>
        <v>BANGALORE</v>
      </c>
      <c r="AI15" s="6" t="str">
        <f>VLOOKUP(K11,K$1:$L$601,1,FALSE)</f>
        <v>B2B</v>
      </c>
      <c r="AJ15" s="6">
        <f>VLOOKUP(L11,L$1:$L$601,1,FALSE)</f>
        <v>-972.73</v>
      </c>
    </row>
    <row r="16" spans="1:36" x14ac:dyDescent="0.25">
      <c r="A16">
        <v>1014</v>
      </c>
      <c r="B16" t="s">
        <v>53</v>
      </c>
      <c r="C16" t="s">
        <v>27</v>
      </c>
      <c r="D16" t="s">
        <v>28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33</v>
      </c>
      <c r="K16" t="s">
        <v>16</v>
      </c>
      <c r="L16" s="2">
        <v>-889.25</v>
      </c>
      <c r="Y16" s="6">
        <f>VLOOKUP(A12,A$1:$L$601,1,FALSE)</f>
        <v>1010</v>
      </c>
      <c r="Z16" s="6" t="str">
        <f>VLOOKUP(B12,B$1:$L$601,1,FALSE)</f>
        <v>Oscar Turner</v>
      </c>
      <c r="AA16" s="6" t="str">
        <f>VLOOKUP(C12,C$1:$L$601,1,FALSE)</f>
        <v>T-Shirts</v>
      </c>
      <c r="AB16" s="6" t="str">
        <f>VLOOKUP(D12,D$1:$L$601,1,FALSE)</f>
        <v>Crop Top</v>
      </c>
      <c r="AC16" s="6">
        <f>VLOOKUP(E12,E$1:$L$601,1,FALSE)</f>
        <v>0</v>
      </c>
      <c r="AD16" s="6">
        <f>VLOOKUP(F12,F$1:$L$601,1,FALSE)</f>
        <v>4007.02</v>
      </c>
      <c r="AE16" s="6">
        <f>VLOOKUP(G12,G$1:$L$601,1,FALSE)</f>
        <v>0.65787878787878773</v>
      </c>
      <c r="AF16" s="6">
        <f>VLOOKUP(H12,H$1:$L$601,1,FALSE)</f>
        <v>0</v>
      </c>
      <c r="AG16" s="6">
        <f>VLOOKUP(I12,I$1:$L$601,1,FALSE)</f>
        <v>45626.838268792708</v>
      </c>
      <c r="AH16" s="6" t="str">
        <f>VLOOKUP(J12,J$1:$L$601,1,FALSE)</f>
        <v>PUNE</v>
      </c>
      <c r="AI16" s="6" t="str">
        <f>VLOOKUP(K12,K$1:$L$601,1,FALSE)</f>
        <v>B2B</v>
      </c>
      <c r="AJ16" s="6">
        <f>VLOOKUP(L12,L$1:$L$601,1,FALSE)</f>
        <v>-950.38</v>
      </c>
    </row>
    <row r="17" spans="1:36" x14ac:dyDescent="0.25">
      <c r="A17">
        <v>1015</v>
      </c>
      <c r="B17" t="s">
        <v>54</v>
      </c>
      <c r="C17" t="s">
        <v>27</v>
      </c>
      <c r="D17" t="s">
        <v>55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19</v>
      </c>
      <c r="K17" t="s">
        <v>16</v>
      </c>
      <c r="L17" s="2">
        <v>793.8</v>
      </c>
      <c r="Y17" s="6">
        <f>VLOOKUP(A13,A$1:$L$601,1,FALSE)</f>
        <v>1011</v>
      </c>
      <c r="Z17" s="6" t="str">
        <f>VLOOKUP(B13,B$1:$L$601,1,FALSE)</f>
        <v>Jacob Sanchez</v>
      </c>
      <c r="AA17" s="6" t="str">
        <f>VLOOKUP(C13,C$1:$L$601,1,FALSE)</f>
        <v>Accessories</v>
      </c>
      <c r="AB17" s="6" t="str">
        <f>VLOOKUP(D13,D$1:$L$601,1,FALSE)</f>
        <v>Belts</v>
      </c>
      <c r="AC17" s="6">
        <f>VLOOKUP(E13,E$1:$L$601,1,FALSE)</f>
        <v>0</v>
      </c>
      <c r="AD17" s="6">
        <f>VLOOKUP(F13,F$1:$L$601,1,FALSE)</f>
        <v>2706.1301960784322</v>
      </c>
      <c r="AE17" s="6">
        <f>VLOOKUP(G13,G$1:$L$601,1,FALSE)</f>
        <v>0.70297297297297334</v>
      </c>
      <c r="AF17" s="6">
        <f>VLOOKUP(H13,H$1:$L$601,1,FALSE)</f>
        <v>0</v>
      </c>
      <c r="AG17" s="6">
        <f>VLOOKUP(I13,I$1:$L$601,1,FALSE)</f>
        <v>45804</v>
      </c>
      <c r="AH17" s="6" t="str">
        <f>VLOOKUP(J13,J$1:$L$601,1,FALSE)</f>
        <v>DELHI</v>
      </c>
      <c r="AI17" s="6" t="str">
        <f>VLOOKUP(K13,K$1:$L$601,1,FALSE)</f>
        <v>B2C</v>
      </c>
      <c r="AJ17" s="6">
        <f>VLOOKUP(L13,L$1:$L$601,1,FALSE)</f>
        <v>1370.67</v>
      </c>
    </row>
    <row r="18" spans="1:36" x14ac:dyDescent="0.25">
      <c r="A18">
        <v>1016</v>
      </c>
      <c r="B18" t="s">
        <v>56</v>
      </c>
      <c r="C18" t="s">
        <v>36</v>
      </c>
      <c r="D18" t="s">
        <v>37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33</v>
      </c>
      <c r="K18" t="s">
        <v>24</v>
      </c>
      <c r="L18" s="2">
        <v>1881.89</v>
      </c>
      <c r="Y18" s="6">
        <f>VLOOKUP(A14,A$1:$L$601,1,FALSE)</f>
        <v>1012</v>
      </c>
      <c r="Z18" s="6" t="str">
        <f>VLOOKUP(B14,B$1:$L$601,1,FALSE)</f>
        <v>Valerie Hampton</v>
      </c>
      <c r="AA18" s="6" t="str">
        <f>VLOOKUP(C14,C$1:$L$601,1,FALSE)</f>
        <v>Jeans</v>
      </c>
      <c r="AB18" s="6" t="str">
        <f>VLOOKUP(D14,D$1:$L$601,1,FALSE)</f>
        <v>Straight Cut</v>
      </c>
      <c r="AC18" s="6">
        <f>VLOOKUP(E14,E$1:$L$601,1,FALSE)</f>
        <v>4</v>
      </c>
      <c r="AD18" s="6">
        <f>VLOOKUP(F14,F$1:$L$601,1,FALSE)</f>
        <v>2676.4254237288142</v>
      </c>
      <c r="AE18" s="6">
        <f>VLOOKUP(G14,G$1:$L$601,1,FALSE)</f>
        <v>0.21</v>
      </c>
      <c r="AF18" s="6">
        <f>VLOOKUP(H14,H$1:$L$601,1,FALSE)</f>
        <v>0</v>
      </c>
      <c r="AG18" s="6">
        <f>VLOOKUP(I14,I$1:$L$601,1,FALSE)</f>
        <v>45526</v>
      </c>
      <c r="AH18" s="6" t="str">
        <f>VLOOKUP(J14,J$1:$L$601,1,FALSE)</f>
        <v>AHMEDABAD</v>
      </c>
      <c r="AI18" s="6" t="str">
        <f>VLOOKUP(K14,K$1:$L$601,1,FALSE)</f>
        <v>B2C</v>
      </c>
      <c r="AJ18" s="6">
        <f>VLOOKUP(L14,L$1:$L$601,1,FALSE)</f>
        <v>843.61</v>
      </c>
    </row>
    <row r="19" spans="1:36" x14ac:dyDescent="0.25">
      <c r="A19">
        <v>1017</v>
      </c>
      <c r="B19" t="s">
        <v>57</v>
      </c>
      <c r="C19" t="s">
        <v>36</v>
      </c>
      <c r="D19" t="s">
        <v>46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23</v>
      </c>
      <c r="K19" t="s">
        <v>24</v>
      </c>
      <c r="L19" s="2">
        <v>-195.65</v>
      </c>
      <c r="Y19" s="6">
        <f>VLOOKUP(A15,A$1:$L$601,1,FALSE)</f>
        <v>1013</v>
      </c>
      <c r="Z19" s="6" t="str">
        <f>VLOOKUP(B15,B$1:$L$601,1,FALSE)</f>
        <v>James Delgado</v>
      </c>
      <c r="AA19" s="6" t="str">
        <f>VLOOKUP(C15,C$1:$L$601,1,FALSE)</f>
        <v>T-Shirts</v>
      </c>
      <c r="AB19" s="6" t="str">
        <f>VLOOKUP(D15,D$1:$L$601,1,FALSE)</f>
        <v>Crop Top</v>
      </c>
      <c r="AC19" s="6">
        <f>VLOOKUP(E15,E$1:$L$601,1,FALSE)</f>
        <v>1.5178571428571428</v>
      </c>
      <c r="AD19" s="6">
        <f>VLOOKUP(F15,F$1:$L$601,1,FALSE)</f>
        <v>2742.2927659574466</v>
      </c>
      <c r="AE19" s="6">
        <f>VLOOKUP(G15,G$1:$L$601,1,FALSE)</f>
        <v>0.62</v>
      </c>
      <c r="AF19" s="6">
        <f>VLOOKUP(H15,H$1:$L$601,1,FALSE)</f>
        <v>0</v>
      </c>
      <c r="AG19" s="6">
        <f>VLOOKUP(I15,I$1:$L$601,1,FALSE)</f>
        <v>45626.838268792708</v>
      </c>
      <c r="AH19" s="6" t="str">
        <f>VLOOKUP(J15,J$1:$L$601,1,FALSE)</f>
        <v>PUNE</v>
      </c>
      <c r="AI19" s="6" t="str">
        <f>VLOOKUP(K15,K$1:$L$601,1,FALSE)</f>
        <v>B2C</v>
      </c>
      <c r="AJ19" s="6">
        <f>VLOOKUP(L15,L$1:$L$601,1,FALSE)</f>
        <v>1279.58</v>
      </c>
    </row>
    <row r="20" spans="1:36" x14ac:dyDescent="0.25">
      <c r="A20">
        <v>1018</v>
      </c>
      <c r="B20" t="s">
        <v>58</v>
      </c>
      <c r="C20" t="s">
        <v>41</v>
      </c>
      <c r="D20" t="s">
        <v>59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29</v>
      </c>
      <c r="K20" t="s">
        <v>16</v>
      </c>
      <c r="L20" s="2">
        <v>2102.56</v>
      </c>
      <c r="Y20" s="6">
        <f>VLOOKUP(A16,A$1:$L$601,1,FALSE)</f>
        <v>1014</v>
      </c>
      <c r="Z20" s="6" t="str">
        <f>VLOOKUP(B16,B$1:$L$601,1,FALSE)</f>
        <v>Richard Hood</v>
      </c>
      <c r="AA20" s="6" t="str">
        <f>VLOOKUP(C16,C$1:$L$601,1,FALSE)</f>
        <v>Shoes</v>
      </c>
      <c r="AB20" s="6" t="str">
        <f>VLOOKUP(D16,D$1:$L$601,1,FALSE)</f>
        <v>Loafers</v>
      </c>
      <c r="AC20" s="6">
        <f>VLOOKUP(E16,E$1:$L$601,1,FALSE)</f>
        <v>4</v>
      </c>
      <c r="AD20" s="6">
        <f>VLOOKUP(F16,F$1:$L$601,1,FALSE)</f>
        <v>2557.4251351351354</v>
      </c>
      <c r="AE20" s="6">
        <f>VLOOKUP(G16,G$1:$L$601,1,FALSE)</f>
        <v>0.59740740740740739</v>
      </c>
      <c r="AF20" s="6">
        <f>VLOOKUP(H16,H$1:$L$601,1,FALSE)</f>
        <v>0</v>
      </c>
      <c r="AG20" s="6">
        <f>VLOOKUP(I16,I$1:$L$601,1,FALSE)</f>
        <v>45556</v>
      </c>
      <c r="AH20" s="6" t="str">
        <f>VLOOKUP(J16,J$1:$L$601,1,FALSE)</f>
        <v>HYDERBAD</v>
      </c>
      <c r="AI20" s="6" t="str">
        <f>VLOOKUP(K16,K$1:$L$601,1,FALSE)</f>
        <v>B2C</v>
      </c>
      <c r="AJ20" s="6">
        <f>VLOOKUP(L16,L$1:$L$601,1,FALSE)</f>
        <v>-889.25</v>
      </c>
    </row>
    <row r="21" spans="1:36" x14ac:dyDescent="0.25">
      <c r="A21">
        <v>1019</v>
      </c>
      <c r="B21" t="s">
        <v>60</v>
      </c>
      <c r="C21" t="s">
        <v>41</v>
      </c>
      <c r="D21" t="s">
        <v>42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19</v>
      </c>
      <c r="K21" t="s">
        <v>16</v>
      </c>
      <c r="L21" s="2">
        <v>877.21</v>
      </c>
      <c r="Y21" s="6">
        <f>VLOOKUP(A17,A$1:$L$601,1,FALSE)</f>
        <v>1015</v>
      </c>
      <c r="Z21" s="6" t="str">
        <f>VLOOKUP(B17,B$1:$L$601,1,FALSE)</f>
        <v>Julie Fox</v>
      </c>
      <c r="AA21" s="6" t="str">
        <f>VLOOKUP(C17,C$1:$L$601,1,FALSE)</f>
        <v>Shoes</v>
      </c>
      <c r="AB21" s="6" t="str">
        <f>VLOOKUP(D17,D$1:$L$601,1,FALSE)</f>
        <v>Sneakers</v>
      </c>
      <c r="AC21" s="6">
        <f>VLOOKUP(E17,E$1:$L$601,1,FALSE)</f>
        <v>6</v>
      </c>
      <c r="AD21" s="6">
        <f>VLOOKUP(F17,F$1:$L$601,1,FALSE)</f>
        <v>2557.4251351351354</v>
      </c>
      <c r="AE21" s="6">
        <f>VLOOKUP(G17,G$1:$L$601,1,FALSE)</f>
        <v>0.59740740740740739</v>
      </c>
      <c r="AF21" s="6">
        <f>VLOOKUP(H17,H$1:$L$601,1,FALSE)</f>
        <v>0</v>
      </c>
      <c r="AG21" s="6">
        <f>VLOOKUP(I17,I$1:$L$601,1,FALSE)</f>
        <v>45626.838268792708</v>
      </c>
      <c r="AH21" s="6" t="str">
        <f>VLOOKUP(J17,J$1:$L$601,1,FALSE)</f>
        <v>AHMEDABAD</v>
      </c>
      <c r="AI21" s="6" t="str">
        <f>VLOOKUP(K17,K$1:$L$601,1,FALSE)</f>
        <v>B2C</v>
      </c>
      <c r="AJ21" s="6">
        <f>VLOOKUP(L17,L$1:$L$601,1,FALSE)</f>
        <v>793.8</v>
      </c>
    </row>
    <row r="22" spans="1:36" x14ac:dyDescent="0.25">
      <c r="A22">
        <v>1020</v>
      </c>
      <c r="B22" t="s">
        <v>61</v>
      </c>
      <c r="C22" t="s">
        <v>13</v>
      </c>
      <c r="D22" t="s">
        <v>39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48</v>
      </c>
      <c r="K22" t="s">
        <v>24</v>
      </c>
      <c r="L22" s="2">
        <v>669.75</v>
      </c>
      <c r="Y22" s="6">
        <f>VLOOKUP(A18,A$1:$L$601,1,FALSE)</f>
        <v>1016</v>
      </c>
      <c r="Z22" s="6" t="str">
        <f>VLOOKUP(B18,B$1:$L$601,1,FALSE)</f>
        <v>Valerie Garner</v>
      </c>
      <c r="AA22" s="6" t="str">
        <f>VLOOKUP(C18,C$1:$L$601,1,FALSE)</f>
        <v>T-Shirts</v>
      </c>
      <c r="AB22" s="6" t="str">
        <f>VLOOKUP(D18,D$1:$L$601,1,FALSE)</f>
        <v>Crop Top</v>
      </c>
      <c r="AC22" s="6">
        <f>VLOOKUP(E18,E$1:$L$601,1,FALSE)</f>
        <v>1.5178571428571428</v>
      </c>
      <c r="AD22" s="6">
        <f>VLOOKUP(F18,F$1:$L$601,1,FALSE)</f>
        <v>2742.2927659574466</v>
      </c>
      <c r="AE22" s="6">
        <f>VLOOKUP(G18,G$1:$L$601,1,FALSE)</f>
        <v>0.65787878787878773</v>
      </c>
      <c r="AF22" s="6">
        <f>VLOOKUP(H18,H$1:$L$601,1,FALSE)</f>
        <v>0</v>
      </c>
      <c r="AG22" s="6">
        <f>VLOOKUP(I18,I$1:$L$601,1,FALSE)</f>
        <v>45591</v>
      </c>
      <c r="AH22" s="6" t="str">
        <f>VLOOKUP(J18,J$1:$L$601,1,FALSE)</f>
        <v>HYDERBAD</v>
      </c>
      <c r="AI22" s="6" t="str">
        <f>VLOOKUP(K18,K$1:$L$601,1,FALSE)</f>
        <v>B2B</v>
      </c>
      <c r="AJ22" s="6">
        <f>VLOOKUP(L18,L$1:$L$601,1,FALSE)</f>
        <v>1881.89</v>
      </c>
    </row>
    <row r="23" spans="1:36" x14ac:dyDescent="0.25">
      <c r="A23">
        <v>1021</v>
      </c>
      <c r="B23" t="s">
        <v>62</v>
      </c>
      <c r="C23" t="s">
        <v>41</v>
      </c>
      <c r="D23" t="s">
        <v>63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29</v>
      </c>
      <c r="K23" t="s">
        <v>24</v>
      </c>
      <c r="L23" s="2">
        <v>-705.72</v>
      </c>
      <c r="Y23" s="6">
        <f>VLOOKUP(A19,A$1:$L$601,1,FALSE)</f>
        <v>1017</v>
      </c>
      <c r="Z23" s="6" t="str">
        <f>VLOOKUP(B19,B$1:$L$601,1,FALSE)</f>
        <v>Alejandro Johnson</v>
      </c>
      <c r="AA23" s="6" t="str">
        <f>VLOOKUP(C19,C$1:$L$601,1,FALSE)</f>
        <v>T-Shirts</v>
      </c>
      <c r="AB23" s="6" t="str">
        <f>VLOOKUP(D19,D$1:$L$601,1,FALSE)</f>
        <v>Oversized T-Shirt</v>
      </c>
      <c r="AC23" s="6">
        <f>VLOOKUP(E19,E$1:$L$601,1,FALSE)</f>
        <v>3</v>
      </c>
      <c r="AD23" s="6">
        <f>VLOOKUP(F19,F$1:$L$601,1,FALSE)</f>
        <v>468.53</v>
      </c>
      <c r="AE23" s="6">
        <f>VLOOKUP(G19,G$1:$L$601,1,FALSE)</f>
        <v>0.65787878787878773</v>
      </c>
      <c r="AF23" s="6">
        <f>VLOOKUP(H19,H$1:$L$601,1,FALSE)</f>
        <v>0</v>
      </c>
      <c r="AG23" s="6">
        <f>VLOOKUP(I19,I$1:$L$601,1,FALSE)</f>
        <v>45626.838268792708</v>
      </c>
      <c r="AH23" s="6" t="str">
        <f>VLOOKUP(J19,J$1:$L$601,1,FALSE)</f>
        <v>MUMBAI</v>
      </c>
      <c r="AI23" s="6" t="str">
        <f>VLOOKUP(K19,K$1:$L$601,1,FALSE)</f>
        <v>B2B</v>
      </c>
      <c r="AJ23" s="6">
        <f>VLOOKUP(L19,L$1:$L$601,1,FALSE)</f>
        <v>-195.65</v>
      </c>
    </row>
    <row r="24" spans="1:36" x14ac:dyDescent="0.25">
      <c r="A24">
        <v>1023</v>
      </c>
      <c r="B24" t="s">
        <v>64</v>
      </c>
      <c r="C24" t="s">
        <v>27</v>
      </c>
      <c r="D24" t="s">
        <v>65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23</v>
      </c>
      <c r="K24" t="s">
        <v>16</v>
      </c>
      <c r="L24" s="2">
        <v>-875.51</v>
      </c>
      <c r="Y24" s="6">
        <f>VLOOKUP(A20,A$1:$L$601,1,FALSE)</f>
        <v>1018</v>
      </c>
      <c r="Z24" s="6" t="str">
        <f>VLOOKUP(B20,B$1:$L$601,1,FALSE)</f>
        <v>Andrew Washington</v>
      </c>
      <c r="AA24" s="6" t="str">
        <f>VLOOKUP(C20,C$1:$L$601,1,FALSE)</f>
        <v>Dresses</v>
      </c>
      <c r="AB24" s="6" t="str">
        <f>VLOOKUP(D20,D$1:$L$601,1,FALSE)</f>
        <v>Maxi Dress</v>
      </c>
      <c r="AC24" s="6">
        <f>VLOOKUP(E20,E$1:$L$601,1,FALSE)</f>
        <v>4</v>
      </c>
      <c r="AD24" s="6">
        <f>VLOOKUP(F20,F$1:$L$601,1,FALSE)</f>
        <v>2949.9901960784309</v>
      </c>
      <c r="AE24" s="6">
        <f>VLOOKUP(G20,G$1:$L$601,1,FALSE)</f>
        <v>0.55000000000000004</v>
      </c>
      <c r="AF24" s="6">
        <f>VLOOKUP(H20,H$1:$L$601,1,FALSE)</f>
        <v>0</v>
      </c>
      <c r="AG24" s="6">
        <f>VLOOKUP(I20,I$1:$L$601,1,FALSE)</f>
        <v>45395</v>
      </c>
      <c r="AH24" s="6" t="str">
        <f>VLOOKUP(J20,J$1:$L$601,1,FALSE)</f>
        <v>BANGALORE</v>
      </c>
      <c r="AI24" s="6" t="str">
        <f>VLOOKUP(K20,K$1:$L$601,1,FALSE)</f>
        <v>B2C</v>
      </c>
      <c r="AJ24" s="6">
        <f>VLOOKUP(L20,L$1:$L$601,1,FALSE)</f>
        <v>2102.56</v>
      </c>
    </row>
    <row r="25" spans="1:36" x14ac:dyDescent="0.25">
      <c r="A25">
        <v>1024</v>
      </c>
      <c r="B25" t="s">
        <v>66</v>
      </c>
      <c r="C25" t="s">
        <v>21</v>
      </c>
      <c r="D25" t="s">
        <v>22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24</v>
      </c>
      <c r="L25" s="2">
        <v>491.1</v>
      </c>
      <c r="Y25" s="6">
        <f>VLOOKUP(A21,A$1:$L$601,1,FALSE)</f>
        <v>1019</v>
      </c>
      <c r="Z25" s="6" t="str">
        <f>VLOOKUP(B21,B$1:$L$601,1,FALSE)</f>
        <v>Mark Allison</v>
      </c>
      <c r="AA25" s="6" t="str">
        <f>VLOOKUP(C21,C$1:$L$601,1,FALSE)</f>
        <v>Dresses</v>
      </c>
      <c r="AB25" s="6" t="str">
        <f>VLOOKUP(D21,D$1:$L$601,1,FALSE)</f>
        <v>Casual Midi</v>
      </c>
      <c r="AC25" s="6">
        <f>VLOOKUP(E21,E$1:$L$601,1,FALSE)</f>
        <v>2.1864406779661016</v>
      </c>
      <c r="AD25" s="6">
        <f>VLOOKUP(F21,F$1:$L$601,1,FALSE)</f>
        <v>4064.4</v>
      </c>
      <c r="AE25" s="6">
        <f>VLOOKUP(G21,G$1:$L$601,1,FALSE)</f>
        <v>0.7</v>
      </c>
      <c r="AF25" s="6">
        <f>VLOOKUP(H21,H$1:$L$601,1,FALSE)</f>
        <v>0</v>
      </c>
      <c r="AG25" s="6">
        <f>VLOOKUP(I21,I$1:$L$601,1,FALSE)</f>
        <v>45587</v>
      </c>
      <c r="AH25" s="6" t="str">
        <f>VLOOKUP(J21,J$1:$L$601,1,FALSE)</f>
        <v>AHMEDABAD</v>
      </c>
      <c r="AI25" s="6" t="str">
        <f>VLOOKUP(K21,K$1:$L$601,1,FALSE)</f>
        <v>B2C</v>
      </c>
      <c r="AJ25" s="6">
        <f>VLOOKUP(L21,L$1:$L$601,1,FALSE)</f>
        <v>877.21</v>
      </c>
    </row>
    <row r="26" spans="1:36" x14ac:dyDescent="0.25">
      <c r="A26">
        <v>1025</v>
      </c>
      <c r="B26" t="s">
        <v>67</v>
      </c>
      <c r="C26" t="s">
        <v>13</v>
      </c>
      <c r="D26" t="s">
        <v>51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29</v>
      </c>
      <c r="K26" t="s">
        <v>16</v>
      </c>
      <c r="L26" s="2">
        <v>330.82</v>
      </c>
      <c r="Y26" s="6">
        <f>VLOOKUP(A22,A$1:$L$601,1,FALSE)</f>
        <v>1020</v>
      </c>
      <c r="Z26" s="6" t="str">
        <f>VLOOKUP(B22,B$1:$L$601,1,FALSE)</f>
        <v>Russell Eaton</v>
      </c>
      <c r="AA26" s="6" t="str">
        <f>VLOOKUP(C22,C$1:$L$601,1,FALSE)</f>
        <v>Jeans</v>
      </c>
      <c r="AB26" s="6" t="str">
        <f>VLOOKUP(D22,D$1:$L$601,1,FALSE)</f>
        <v>Boyfriend Jeans</v>
      </c>
      <c r="AC26" s="6">
        <f>VLOOKUP(E22,E$1:$L$601,1,FALSE)</f>
        <v>1</v>
      </c>
      <c r="AD26" s="6">
        <f>VLOOKUP(F22,F$1:$L$601,1,FALSE)</f>
        <v>2676.4254237288142</v>
      </c>
      <c r="AE26" s="6">
        <f>VLOOKUP(G22,G$1:$L$601,1,FALSE)</f>
        <v>0.58977272727272723</v>
      </c>
      <c r="AF26" s="6">
        <f>VLOOKUP(H22,H$1:$L$601,1,FALSE)</f>
        <v>0</v>
      </c>
      <c r="AG26" s="6">
        <f>VLOOKUP(I22,I$1:$L$601,1,FALSE)</f>
        <v>45735</v>
      </c>
      <c r="AH26" s="6" t="str">
        <f>VLOOKUP(J22,J$1:$L$601,1,FALSE)</f>
        <v>PUNE</v>
      </c>
      <c r="AI26" s="6" t="str">
        <f>VLOOKUP(K22,K$1:$L$601,1,FALSE)</f>
        <v>B2B</v>
      </c>
      <c r="AJ26" s="6">
        <f>VLOOKUP(L22,L$1:$L$601,1,FALSE)</f>
        <v>669.75</v>
      </c>
    </row>
    <row r="27" spans="1:36" x14ac:dyDescent="0.25">
      <c r="A27">
        <v>1026</v>
      </c>
      <c r="B27" t="s">
        <v>68</v>
      </c>
      <c r="C27" t="s">
        <v>31</v>
      </c>
      <c r="D27" t="s">
        <v>44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19</v>
      </c>
      <c r="K27" t="s">
        <v>24</v>
      </c>
      <c r="L27" s="2">
        <v>-194.77</v>
      </c>
      <c r="Y27" s="6">
        <f>VLOOKUP(A23,A$1:$L$601,1,FALSE)</f>
        <v>1021</v>
      </c>
      <c r="Z27" s="6" t="str">
        <f>VLOOKUP(B23,B$1:$L$601,1,FALSE)</f>
        <v>Amber Bowman</v>
      </c>
      <c r="AA27" s="6" t="str">
        <f>VLOOKUP(C23,C$1:$L$601,1,FALSE)</f>
        <v>Dresses</v>
      </c>
      <c r="AB27" s="6" t="str">
        <f>VLOOKUP(D23,D$1:$L$601,1,FALSE)</f>
        <v>Wrap Dress</v>
      </c>
      <c r="AC27" s="6">
        <f>VLOOKUP(E23,E$1:$L$601,1,FALSE)</f>
        <v>2.1864406779661016</v>
      </c>
      <c r="AD27" s="6">
        <f>VLOOKUP(F23,F$1:$L$601,1,FALSE)</f>
        <v>2949.9901960784309</v>
      </c>
      <c r="AE27" s="6">
        <f>VLOOKUP(G23,G$1:$L$601,1,FALSE)</f>
        <v>0.55000000000000004</v>
      </c>
      <c r="AF27" s="6">
        <f>VLOOKUP(H23,H$1:$L$601,1,FALSE)</f>
        <v>0</v>
      </c>
      <c r="AG27" s="6">
        <f>VLOOKUP(I23,I$1:$L$601,1,FALSE)</f>
        <v>45417</v>
      </c>
      <c r="AH27" s="6" t="str">
        <f>VLOOKUP(J23,J$1:$L$601,1,FALSE)</f>
        <v>BANGALORE</v>
      </c>
      <c r="AI27" s="6" t="str">
        <f>VLOOKUP(K23,K$1:$L$601,1,FALSE)</f>
        <v>B2B</v>
      </c>
      <c r="AJ27" s="6">
        <f>VLOOKUP(L23,L$1:$L$601,1,FALSE)</f>
        <v>-705.72</v>
      </c>
    </row>
    <row r="28" spans="1:36" x14ac:dyDescent="0.25">
      <c r="A28">
        <v>1027</v>
      </c>
      <c r="B28" t="s">
        <v>69</v>
      </c>
      <c r="C28" t="s">
        <v>31</v>
      </c>
      <c r="D28" t="s">
        <v>32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33</v>
      </c>
      <c r="K28" t="s">
        <v>24</v>
      </c>
      <c r="L28" s="2">
        <v>1085.3599999999999</v>
      </c>
      <c r="Y28" s="6">
        <f>VLOOKUP(A24,A$1:$L$601,1,FALSE)</f>
        <v>1023</v>
      </c>
      <c r="Z28" s="6" t="str">
        <f>VLOOKUP(B24,B$1:$L$601,1,FALSE)</f>
        <v>David Arnold</v>
      </c>
      <c r="AA28" s="6" t="str">
        <f>VLOOKUP(C24,C$1:$L$601,1,FALSE)</f>
        <v>Shoes</v>
      </c>
      <c r="AB28" s="6" t="str">
        <f>VLOOKUP(D24,D$1:$L$601,1,FALSE)</f>
        <v>Slip-Ons</v>
      </c>
      <c r="AC28" s="6">
        <f>VLOOKUP(E24,E$1:$L$601,1,FALSE)</f>
        <v>1.6216216216216217</v>
      </c>
      <c r="AD28" s="6">
        <f>VLOOKUP(F24,F$1:$L$601,1,FALSE)</f>
        <v>2557.4251351351354</v>
      </c>
      <c r="AE28" s="6">
        <f>VLOOKUP(G24,G$1:$L$601,1,FALSE)</f>
        <v>0.59740740740740739</v>
      </c>
      <c r="AF28" s="6">
        <f>VLOOKUP(H24,H$1:$L$601,1,FALSE)</f>
        <v>0</v>
      </c>
      <c r="AG28" s="6">
        <f>VLOOKUP(I24,I$1:$L$601,1,FALSE)</f>
        <v>45626.838268792708</v>
      </c>
      <c r="AH28" s="6" t="str">
        <f>VLOOKUP(J24,J$1:$L$601,1,FALSE)</f>
        <v>MUMBAI</v>
      </c>
      <c r="AI28" s="6" t="str">
        <f>VLOOKUP(K24,K$1:$L$601,1,FALSE)</f>
        <v>B2C</v>
      </c>
      <c r="AJ28" s="6">
        <f>VLOOKUP(L24,L$1:$L$601,1,FALSE)</f>
        <v>-875.51</v>
      </c>
    </row>
    <row r="29" spans="1:36" x14ac:dyDescent="0.25">
      <c r="A29">
        <v>1028</v>
      </c>
      <c r="B29" t="s">
        <v>70</v>
      </c>
      <c r="C29" t="s">
        <v>36</v>
      </c>
      <c r="D29" t="s">
        <v>71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33</v>
      </c>
      <c r="K29" t="s">
        <v>24</v>
      </c>
      <c r="L29" s="2">
        <v>2060.0300000000002</v>
      </c>
      <c r="Y29" s="6">
        <f>VLOOKUP(A25,A$1:$L$601,1,FALSE)</f>
        <v>1024</v>
      </c>
      <c r="Z29" s="6" t="str">
        <f>VLOOKUP(B25,B$1:$L$601,1,FALSE)</f>
        <v>Thomas Long</v>
      </c>
      <c r="AA29" s="6" t="str">
        <f>VLOOKUP(C25,C$1:$L$601,1,FALSE)</f>
        <v>Jackets</v>
      </c>
      <c r="AB29" s="6" t="str">
        <f>VLOOKUP(D25,D$1:$L$601,1,FALSE)</f>
        <v>Puffer Coat</v>
      </c>
      <c r="AC29" s="6">
        <f>VLOOKUP(E25,E$1:$L$601,1,FALSE)</f>
        <v>1.5178571428571428</v>
      </c>
      <c r="AD29" s="6">
        <f>VLOOKUP(F25,F$1:$L$601,1,FALSE)</f>
        <v>2811.5702272727276</v>
      </c>
      <c r="AE29" s="6">
        <f>VLOOKUP(G25,G$1:$L$601,1,FALSE)</f>
        <v>1.1899999999999999E-2</v>
      </c>
      <c r="AF29" s="6">
        <f>VLOOKUP(H25,H$1:$L$601,1,FALSE)</f>
        <v>0</v>
      </c>
      <c r="AG29" s="6">
        <f>VLOOKUP(I25,I$1:$L$601,1,FALSE)</f>
        <v>45707</v>
      </c>
      <c r="AH29" s="6" t="str">
        <f>VLOOKUP(J25,J$1:$L$601,1,FALSE)</f>
        <v>DELHI</v>
      </c>
      <c r="AI29" s="6" t="str">
        <f>VLOOKUP(K25,K$1:$L$601,1,FALSE)</f>
        <v>B2B</v>
      </c>
      <c r="AJ29" s="6">
        <f>VLOOKUP(L25,L$1:$L$601,1,FALSE)</f>
        <v>491.1</v>
      </c>
    </row>
    <row r="30" spans="1:36" x14ac:dyDescent="0.25">
      <c r="A30">
        <v>1029</v>
      </c>
      <c r="B30" t="s">
        <v>72</v>
      </c>
      <c r="C30" t="s">
        <v>36</v>
      </c>
      <c r="D30" t="s">
        <v>71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23</v>
      </c>
      <c r="K30" t="s">
        <v>16</v>
      </c>
      <c r="L30" s="2">
        <v>1737.92</v>
      </c>
      <c r="Y30" s="6">
        <f>VLOOKUP(A26,A$1:$L$601,1,FALSE)</f>
        <v>1025</v>
      </c>
      <c r="Z30" s="6" t="str">
        <f>VLOOKUP(B26,B$1:$L$601,1,FALSE)</f>
        <v>Christine Reed</v>
      </c>
      <c r="AA30" s="6" t="str">
        <f>VLOOKUP(C26,C$1:$L$601,1,FALSE)</f>
        <v>Jeans</v>
      </c>
      <c r="AB30" s="6" t="str">
        <f>VLOOKUP(D26,D$1:$L$601,1,FALSE)</f>
        <v>Straight Cut</v>
      </c>
      <c r="AC30" s="6">
        <f>VLOOKUP(E26,E$1:$L$601,1,FALSE)</f>
        <v>4</v>
      </c>
      <c r="AD30" s="6">
        <f>VLOOKUP(F26,F$1:$L$601,1,FALSE)</f>
        <v>4595.08</v>
      </c>
      <c r="AE30" s="6">
        <f>VLOOKUP(G26,G$1:$L$601,1,FALSE)</f>
        <v>0.58977272727272723</v>
      </c>
      <c r="AF30" s="6">
        <f>VLOOKUP(H26,H$1:$L$601,1,FALSE)</f>
        <v>0</v>
      </c>
      <c r="AG30" s="6">
        <f>VLOOKUP(I26,I$1:$L$601,1,FALSE)</f>
        <v>45856</v>
      </c>
      <c r="AH30" s="6" t="str">
        <f>VLOOKUP(J26,J$1:$L$601,1,FALSE)</f>
        <v>BANGALORE</v>
      </c>
      <c r="AI30" s="6" t="str">
        <f>VLOOKUP(K26,K$1:$L$601,1,FALSE)</f>
        <v>B2C</v>
      </c>
      <c r="AJ30" s="6">
        <f>VLOOKUP(L26,L$1:$L$601,1,FALSE)</f>
        <v>330.82</v>
      </c>
    </row>
    <row r="31" spans="1:36" x14ac:dyDescent="0.25">
      <c r="A31">
        <v>1030</v>
      </c>
      <c r="B31" t="s">
        <v>73</v>
      </c>
      <c r="C31" t="s">
        <v>41</v>
      </c>
      <c r="D31" t="s">
        <v>59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33</v>
      </c>
      <c r="K31" t="s">
        <v>16</v>
      </c>
      <c r="L31" s="2">
        <v>1155.3800000000001</v>
      </c>
      <c r="Y31" s="6">
        <f>VLOOKUP(A27,A$1:$L$601,1,FALSE)</f>
        <v>1026</v>
      </c>
      <c r="Z31" s="6" t="str">
        <f>VLOOKUP(B27,B$1:$L$601,1,FALSE)</f>
        <v>Colton Baxter</v>
      </c>
      <c r="AA31" s="6" t="str">
        <f>VLOOKUP(C27,C$1:$L$601,1,FALSE)</f>
        <v>Accessories</v>
      </c>
      <c r="AB31" s="6" t="str">
        <f>VLOOKUP(D27,D$1:$L$601,1,FALSE)</f>
        <v>Sunglasses</v>
      </c>
      <c r="AC31" s="6">
        <f>VLOOKUP(E27,E$1:$L$601,1,FALSE)</f>
        <v>2.4893617021276597</v>
      </c>
      <c r="AD31" s="6">
        <f>VLOOKUP(F27,F$1:$L$601,1,FALSE)</f>
        <v>2706.1301960784322</v>
      </c>
      <c r="AE31" s="6">
        <f>VLOOKUP(G27,G$1:$L$601,1,FALSE)</f>
        <v>0.70297297297297334</v>
      </c>
      <c r="AF31" s="6">
        <f>VLOOKUP(H27,H$1:$L$601,1,FALSE)</f>
        <v>0</v>
      </c>
      <c r="AG31" s="6">
        <f>VLOOKUP(I27,I$1:$L$601,1,FALSE)</f>
        <v>45647</v>
      </c>
      <c r="AH31" s="6" t="str">
        <f>VLOOKUP(J27,J$1:$L$601,1,FALSE)</f>
        <v>AHMEDABAD</v>
      </c>
      <c r="AI31" s="6" t="str">
        <f>VLOOKUP(K27,K$1:$L$601,1,FALSE)</f>
        <v>B2B</v>
      </c>
      <c r="AJ31" s="6">
        <f>VLOOKUP(L27,L$1:$L$601,1,FALSE)</f>
        <v>-194.77</v>
      </c>
    </row>
    <row r="32" spans="1:36" x14ac:dyDescent="0.25">
      <c r="A32">
        <v>1031</v>
      </c>
      <c r="B32" t="s">
        <v>74</v>
      </c>
      <c r="C32" t="s">
        <v>41</v>
      </c>
      <c r="D32" t="s">
        <v>63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48</v>
      </c>
      <c r="K32" t="s">
        <v>16</v>
      </c>
      <c r="L32" s="2">
        <v>-863.9</v>
      </c>
      <c r="Y32" s="6">
        <f>VLOOKUP(A28,A$1:$L$601,1,FALSE)</f>
        <v>1027</v>
      </c>
      <c r="Z32" s="6" t="str">
        <f>VLOOKUP(B28,B$1:$L$601,1,FALSE)</f>
        <v>Rebecca Dorsey</v>
      </c>
      <c r="AA32" s="6" t="str">
        <f>VLOOKUP(C28,C$1:$L$601,1,FALSE)</f>
        <v>Accessories</v>
      </c>
      <c r="AB32" s="6" t="str">
        <f>VLOOKUP(D28,D$1:$L$601,1,FALSE)</f>
        <v>Belts</v>
      </c>
      <c r="AC32" s="6">
        <f>VLOOKUP(E28,E$1:$L$601,1,FALSE)</f>
        <v>1</v>
      </c>
      <c r="AD32" s="6">
        <f>VLOOKUP(F28,F$1:$L$601,1,FALSE)</f>
        <v>2706.1301960784322</v>
      </c>
      <c r="AE32" s="6">
        <f>VLOOKUP(G28,G$1:$L$601,1,FALSE)</f>
        <v>0.70297297297297334</v>
      </c>
      <c r="AF32" s="6">
        <f>VLOOKUP(H28,H$1:$L$601,1,FALSE)</f>
        <v>0</v>
      </c>
      <c r="AG32" s="6">
        <f>VLOOKUP(I28,I$1:$L$601,1,FALSE)</f>
        <v>45626.838268792708</v>
      </c>
      <c r="AH32" s="6" t="str">
        <f>VLOOKUP(J28,J$1:$L$601,1,FALSE)</f>
        <v>HYDERBAD</v>
      </c>
      <c r="AI32" s="6" t="str">
        <f>VLOOKUP(K28,K$1:$L$601,1,FALSE)</f>
        <v>B2B</v>
      </c>
      <c r="AJ32" s="6">
        <f>VLOOKUP(L28,L$1:$L$601,1,FALSE)</f>
        <v>1085.3599999999999</v>
      </c>
    </row>
    <row r="33" spans="1:36" x14ac:dyDescent="0.25">
      <c r="A33">
        <v>1032</v>
      </c>
      <c r="B33" t="s">
        <v>75</v>
      </c>
      <c r="C33" t="s">
        <v>13</v>
      </c>
      <c r="D33" t="s">
        <v>39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  <c r="Y33" s="6">
        <f>VLOOKUP(A29,A$1:$L$601,1,FALSE)</f>
        <v>1028</v>
      </c>
      <c r="Z33" s="6" t="str">
        <f>VLOOKUP(B29,B$1:$L$601,1,FALSE)</f>
        <v>Felicia Orozco</v>
      </c>
      <c r="AA33" s="6" t="str">
        <f>VLOOKUP(C29,C$1:$L$601,1,FALSE)</f>
        <v>T-Shirts</v>
      </c>
      <c r="AB33" s="6" t="str">
        <f>VLOOKUP(D29,D$1:$L$601,1,FALSE)</f>
        <v>Classic Tee</v>
      </c>
      <c r="AC33" s="6">
        <f>VLOOKUP(E29,E$1:$L$601,1,FALSE)</f>
        <v>1.5178571428571428</v>
      </c>
      <c r="AD33" s="6">
        <f>VLOOKUP(F29,F$1:$L$601,1,FALSE)</f>
        <v>2742.2927659574466</v>
      </c>
      <c r="AE33" s="6">
        <f>VLOOKUP(G29,G$1:$L$601,1,FALSE)</f>
        <v>0.65787878787878773</v>
      </c>
      <c r="AF33" s="6">
        <f>VLOOKUP(H29,H$1:$L$601,1,FALSE)</f>
        <v>0</v>
      </c>
      <c r="AG33" s="6">
        <f>VLOOKUP(I29,I$1:$L$601,1,FALSE)</f>
        <v>45626.838268792708</v>
      </c>
      <c r="AH33" s="6" t="str">
        <f>VLOOKUP(J29,J$1:$L$601,1,FALSE)</f>
        <v>HYDERBAD</v>
      </c>
      <c r="AI33" s="6" t="str">
        <f>VLOOKUP(K29,K$1:$L$601,1,FALSE)</f>
        <v>B2B</v>
      </c>
      <c r="AJ33" s="6">
        <f>VLOOKUP(L29,L$1:$L$601,1,FALSE)</f>
        <v>2060.0300000000002</v>
      </c>
    </row>
    <row r="34" spans="1:36" x14ac:dyDescent="0.25">
      <c r="A34">
        <v>1033</v>
      </c>
      <c r="B34" t="s">
        <v>76</v>
      </c>
      <c r="C34" t="s">
        <v>13</v>
      </c>
      <c r="D34" t="s">
        <v>51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33</v>
      </c>
      <c r="K34" t="s">
        <v>24</v>
      </c>
      <c r="L34" s="2">
        <v>903.69</v>
      </c>
      <c r="Y34" s="6">
        <f>VLOOKUP(A30,A$1:$L$601,1,FALSE)</f>
        <v>1029</v>
      </c>
      <c r="Z34" s="6" t="str">
        <f>VLOOKUP(B30,B$1:$L$601,1,FALSE)</f>
        <v>Terry Anderson</v>
      </c>
      <c r="AA34" s="6" t="str">
        <f>VLOOKUP(C30,C$1:$L$601,1,FALSE)</f>
        <v>T-Shirts</v>
      </c>
      <c r="AB34" s="6" t="str">
        <f>VLOOKUP(D30,D$1:$L$601,1,FALSE)</f>
        <v>Classic Tee</v>
      </c>
      <c r="AC34" s="6">
        <f>VLOOKUP(E30,E$1:$L$601,1,FALSE)</f>
        <v>4</v>
      </c>
      <c r="AD34" s="6">
        <f>VLOOKUP(F30,F$1:$L$601,1,FALSE)</f>
        <v>2742.2927659574466</v>
      </c>
      <c r="AE34" s="6">
        <f>VLOOKUP(G30,G$1:$L$601,1,FALSE)</f>
        <v>0.65787878787878773</v>
      </c>
      <c r="AF34" s="6">
        <f>VLOOKUP(H30,H$1:$L$601,1,FALSE)</f>
        <v>0</v>
      </c>
      <c r="AG34" s="6">
        <f>VLOOKUP(I30,I$1:$L$601,1,FALSE)</f>
        <v>45626.838268792708</v>
      </c>
      <c r="AH34" s="6" t="str">
        <f>VLOOKUP(J30,J$1:$L$601,1,FALSE)</f>
        <v>MUMBAI</v>
      </c>
      <c r="AI34" s="6" t="str">
        <f>VLOOKUP(K30,K$1:$L$601,1,FALSE)</f>
        <v>B2C</v>
      </c>
      <c r="AJ34" s="6">
        <f>VLOOKUP(L30,L$1:$L$601,1,FALSE)</f>
        <v>1737.92</v>
      </c>
    </row>
    <row r="35" spans="1:36" x14ac:dyDescent="0.25">
      <c r="A35">
        <v>1034</v>
      </c>
      <c r="B35" t="s">
        <v>77</v>
      </c>
      <c r="C35" t="s">
        <v>21</v>
      </c>
      <c r="D35" t="s">
        <v>22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24</v>
      </c>
      <c r="L35" s="2">
        <v>-282.68</v>
      </c>
      <c r="Y35" s="6">
        <f>VLOOKUP(A31,A$1:$L$601,1,FALSE)</f>
        <v>1030</v>
      </c>
      <c r="Z35" s="6" t="str">
        <f>VLOOKUP(B31,B$1:$L$601,1,FALSE)</f>
        <v>Brandi Jones</v>
      </c>
      <c r="AA35" s="6" t="str">
        <f>VLOOKUP(C31,C$1:$L$601,1,FALSE)</f>
        <v>Dresses</v>
      </c>
      <c r="AB35" s="6" t="str">
        <f>VLOOKUP(D31,D$1:$L$601,1,FALSE)</f>
        <v>Maxi Dress</v>
      </c>
      <c r="AC35" s="6">
        <f>VLOOKUP(E31,E$1:$L$601,1,FALSE)</f>
        <v>3</v>
      </c>
      <c r="AD35" s="6">
        <f>VLOOKUP(F31,F$1:$L$601,1,FALSE)</f>
        <v>1069.77</v>
      </c>
      <c r="AE35" s="6">
        <f>VLOOKUP(G31,G$1:$L$601,1,FALSE)</f>
        <v>0.55000000000000004</v>
      </c>
      <c r="AF35" s="6">
        <f>VLOOKUP(H31,H$1:$L$601,1,FALSE)</f>
        <v>0</v>
      </c>
      <c r="AG35" s="6">
        <f>VLOOKUP(I31,I$1:$L$601,1,FALSE)</f>
        <v>45172</v>
      </c>
      <c r="AH35" s="6" t="str">
        <f>VLOOKUP(J31,J$1:$L$601,1,FALSE)</f>
        <v>HYDERBAD</v>
      </c>
      <c r="AI35" s="6" t="str">
        <f>VLOOKUP(K31,K$1:$L$601,1,FALSE)</f>
        <v>B2C</v>
      </c>
      <c r="AJ35" s="6">
        <f>VLOOKUP(L31,L$1:$L$601,1,FALSE)</f>
        <v>1155.3800000000001</v>
      </c>
    </row>
    <row r="36" spans="1:36" x14ac:dyDescent="0.25">
      <c r="A36">
        <v>1035</v>
      </c>
      <c r="B36" t="s">
        <v>78</v>
      </c>
      <c r="C36" t="s">
        <v>21</v>
      </c>
      <c r="D36" t="s">
        <v>79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19</v>
      </c>
      <c r="K36" t="s">
        <v>16</v>
      </c>
      <c r="L36" s="2">
        <v>-199.18</v>
      </c>
      <c r="Y36" s="6">
        <f>VLOOKUP(A32,A$1:$L$601,1,FALSE)</f>
        <v>1031</v>
      </c>
      <c r="Z36" s="6" t="str">
        <f>VLOOKUP(B32,B$1:$L$601,1,FALSE)</f>
        <v>Lauren Jensen</v>
      </c>
      <c r="AA36" s="6" t="str">
        <f>VLOOKUP(C32,C$1:$L$601,1,FALSE)</f>
        <v>Dresses</v>
      </c>
      <c r="AB36" s="6" t="str">
        <f>VLOOKUP(D32,D$1:$L$601,1,FALSE)</f>
        <v>Wrap Dress</v>
      </c>
      <c r="AC36" s="6">
        <f>VLOOKUP(E32,E$1:$L$601,1,FALSE)</f>
        <v>2.1864406779661016</v>
      </c>
      <c r="AD36" s="6">
        <f>VLOOKUP(F32,F$1:$L$601,1,FALSE)</f>
        <v>1872.05</v>
      </c>
      <c r="AE36" s="6">
        <f>VLOOKUP(G32,G$1:$L$601,1,FALSE)</f>
        <v>0.15</v>
      </c>
      <c r="AF36" s="6">
        <f>VLOOKUP(H32,H$1:$L$601,1,FALSE)</f>
        <v>0</v>
      </c>
      <c r="AG36" s="6">
        <f>VLOOKUP(I32,I$1:$L$601,1,FALSE)</f>
        <v>45804</v>
      </c>
      <c r="AH36" s="6" t="str">
        <f>VLOOKUP(J32,J$1:$L$601,1,FALSE)</f>
        <v>PUNE</v>
      </c>
      <c r="AI36" s="6" t="str">
        <f>VLOOKUP(K32,K$1:$L$601,1,FALSE)</f>
        <v>B2C</v>
      </c>
      <c r="AJ36" s="6">
        <f>VLOOKUP(L32,L$1:$L$601,1,FALSE)</f>
        <v>-863.9</v>
      </c>
    </row>
    <row r="37" spans="1:36" x14ac:dyDescent="0.25">
      <c r="A37">
        <v>1036</v>
      </c>
      <c r="B37" t="s">
        <v>80</v>
      </c>
      <c r="C37" t="s">
        <v>36</v>
      </c>
      <c r="D37" t="s">
        <v>81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19</v>
      </c>
      <c r="K37" t="s">
        <v>24</v>
      </c>
      <c r="L37" s="2">
        <v>1213.95</v>
      </c>
      <c r="Y37" s="6">
        <f>VLOOKUP(A33,A$1:$L$601,1,FALSE)</f>
        <v>1032</v>
      </c>
      <c r="Z37" s="6" t="str">
        <f>VLOOKUP(B33,B$1:$L$601,1,FALSE)</f>
        <v>Kim Harris</v>
      </c>
      <c r="AA37" s="6" t="str">
        <f>VLOOKUP(C33,C$1:$L$601,1,FALSE)</f>
        <v>Jeans</v>
      </c>
      <c r="AB37" s="6" t="str">
        <f>VLOOKUP(D33,D$1:$L$601,1,FALSE)</f>
        <v>Boyfriend Jeans</v>
      </c>
      <c r="AC37" s="6">
        <f>VLOOKUP(E33,E$1:$L$601,1,FALSE)</f>
        <v>2.1052631578947367</v>
      </c>
      <c r="AD37" s="6">
        <f>VLOOKUP(F33,F$1:$L$601,1,FALSE)</f>
        <v>2182.0100000000002</v>
      </c>
      <c r="AE37" s="6">
        <f>VLOOKUP(G33,G$1:$L$601,1,FALSE)</f>
        <v>0.58977272727272723</v>
      </c>
      <c r="AF37" s="6">
        <f>VLOOKUP(H33,H$1:$L$601,1,FALSE)</f>
        <v>0</v>
      </c>
      <c r="AG37" s="6">
        <f>VLOOKUP(I33,I$1:$L$601,1,FALSE)</f>
        <v>45682</v>
      </c>
      <c r="AH37" s="6" t="str">
        <f>VLOOKUP(J33,J$1:$L$601,1,FALSE)</f>
        <v>DELHI</v>
      </c>
      <c r="AI37" s="6" t="str">
        <f>VLOOKUP(K33,K$1:$L$601,1,FALSE)</f>
        <v>B2C</v>
      </c>
      <c r="AJ37" s="6">
        <f>VLOOKUP(L33,L$1:$L$601,1,FALSE)</f>
        <v>1377.61</v>
      </c>
    </row>
    <row r="38" spans="1:36" x14ac:dyDescent="0.25">
      <c r="A38">
        <v>1037</v>
      </c>
      <c r="B38" t="s">
        <v>82</v>
      </c>
      <c r="C38" t="s">
        <v>31</v>
      </c>
      <c r="D38" t="s">
        <v>44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19</v>
      </c>
      <c r="K38" t="s">
        <v>24</v>
      </c>
      <c r="L38" s="2">
        <v>907.77</v>
      </c>
      <c r="Y38" s="6">
        <f>VLOOKUP(A34,A$1:$L$601,1,FALSE)</f>
        <v>1033</v>
      </c>
      <c r="Z38" s="6" t="str">
        <f>VLOOKUP(B34,B$1:$L$601,1,FALSE)</f>
        <v>Jonathan Neal</v>
      </c>
      <c r="AA38" s="6" t="str">
        <f>VLOOKUP(C34,C$1:$L$601,1,FALSE)</f>
        <v>Jeans</v>
      </c>
      <c r="AB38" s="6" t="str">
        <f>VLOOKUP(D34,D$1:$L$601,1,FALSE)</f>
        <v>Straight Cut</v>
      </c>
      <c r="AC38" s="6">
        <f>VLOOKUP(E34,E$1:$L$601,1,FALSE)</f>
        <v>2.1052631578947367</v>
      </c>
      <c r="AD38" s="6">
        <f>VLOOKUP(F34,F$1:$L$601,1,FALSE)</f>
        <v>2676.4254237288142</v>
      </c>
      <c r="AE38" s="6">
        <f>VLOOKUP(G34,G$1:$L$601,1,FALSE)</f>
        <v>0.58977272727272723</v>
      </c>
      <c r="AF38" s="6">
        <f>VLOOKUP(H34,H$1:$L$601,1,FALSE)</f>
        <v>0</v>
      </c>
      <c r="AG38" s="6">
        <f>VLOOKUP(I34,I$1:$L$601,1,FALSE)</f>
        <v>45609</v>
      </c>
      <c r="AH38" s="6" t="str">
        <f>VLOOKUP(J34,J$1:$L$601,1,FALSE)</f>
        <v>HYDERBAD</v>
      </c>
      <c r="AI38" s="6" t="str">
        <f>VLOOKUP(K34,K$1:$L$601,1,FALSE)</f>
        <v>B2B</v>
      </c>
      <c r="AJ38" s="6">
        <f>VLOOKUP(L34,L$1:$L$601,1,FALSE)</f>
        <v>903.69</v>
      </c>
    </row>
    <row r="39" spans="1:36" x14ac:dyDescent="0.25">
      <c r="A39">
        <v>1038</v>
      </c>
      <c r="B39" t="s">
        <v>83</v>
      </c>
      <c r="C39" t="s">
        <v>36</v>
      </c>
      <c r="D39" t="s">
        <v>37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29</v>
      </c>
      <c r="K39" t="s">
        <v>16</v>
      </c>
      <c r="L39" s="2">
        <v>1704.49</v>
      </c>
      <c r="Y39" s="6">
        <f>VLOOKUP(A35,A$1:$L$601,1,FALSE)</f>
        <v>1034</v>
      </c>
      <c r="Z39" s="6" t="str">
        <f>VLOOKUP(B35,B$1:$L$601,1,FALSE)</f>
        <v>Nathan Stewart</v>
      </c>
      <c r="AA39" s="6" t="str">
        <f>VLOOKUP(C35,C$1:$L$601,1,FALSE)</f>
        <v>Jackets</v>
      </c>
      <c r="AB39" s="6" t="str">
        <f>VLOOKUP(D35,D$1:$L$601,1,FALSE)</f>
        <v>Puffer Coat</v>
      </c>
      <c r="AC39" s="6">
        <f>VLOOKUP(E35,E$1:$L$601,1,FALSE)</f>
        <v>0</v>
      </c>
      <c r="AD39" s="6">
        <f>VLOOKUP(F35,F$1:$L$601,1,FALSE)</f>
        <v>4449.3599999999997</v>
      </c>
      <c r="AE39" s="6">
        <f>VLOOKUP(G35,G$1:$L$601,1,FALSE)</f>
        <v>0.94</v>
      </c>
      <c r="AF39" s="6">
        <f>VLOOKUP(H35,H$1:$L$601,1,FALSE)</f>
        <v>0</v>
      </c>
      <c r="AG39" s="6">
        <f>VLOOKUP(I35,I$1:$L$601,1,FALSE)</f>
        <v>45851</v>
      </c>
      <c r="AH39" s="6" t="str">
        <f>VLOOKUP(J35,J$1:$L$601,1,FALSE)</f>
        <v>DELHI</v>
      </c>
      <c r="AI39" s="6" t="str">
        <f>VLOOKUP(K35,K$1:$L$601,1,FALSE)</f>
        <v>B2B</v>
      </c>
      <c r="AJ39" s="6">
        <f>VLOOKUP(L35,L$1:$L$601,1,FALSE)</f>
        <v>-282.68</v>
      </c>
    </row>
    <row r="40" spans="1:36" x14ac:dyDescent="0.25">
      <c r="A40">
        <v>1039</v>
      </c>
      <c r="B40" t="s">
        <v>84</v>
      </c>
      <c r="C40" t="s">
        <v>27</v>
      </c>
      <c r="D40" t="s">
        <v>85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33</v>
      </c>
      <c r="K40" t="s">
        <v>16</v>
      </c>
      <c r="L40" s="2">
        <v>1626.51</v>
      </c>
      <c r="Y40" s="6">
        <f>VLOOKUP(A36,A$1:$L$601,1,FALSE)</f>
        <v>1035</v>
      </c>
      <c r="Z40" s="6" t="str">
        <f>VLOOKUP(B36,B$1:$L$601,1,FALSE)</f>
        <v>Joshua Thomas</v>
      </c>
      <c r="AA40" s="6" t="str">
        <f>VLOOKUP(C36,C$1:$L$601,1,FALSE)</f>
        <v>Jackets</v>
      </c>
      <c r="AB40" s="6" t="str">
        <f>VLOOKUP(D36,D$1:$L$601,1,FALSE)</f>
        <v>Bomber Jacket</v>
      </c>
      <c r="AC40" s="6">
        <f>VLOOKUP(E36,E$1:$L$601,1,FALSE)</f>
        <v>1.5178571428571428</v>
      </c>
      <c r="AD40" s="6">
        <f>VLOOKUP(F36,F$1:$L$601,1,FALSE)</f>
        <v>2811.5702272727276</v>
      </c>
      <c r="AE40" s="6">
        <f>VLOOKUP(G36,G$1:$L$601,1,FALSE)</f>
        <v>0.94</v>
      </c>
      <c r="AF40" s="6">
        <f>VLOOKUP(H36,H$1:$L$601,1,FALSE)</f>
        <v>0</v>
      </c>
      <c r="AG40" s="6">
        <f>VLOOKUP(I36,I$1:$L$601,1,FALSE)</f>
        <v>45626.838268792708</v>
      </c>
      <c r="AH40" s="6" t="str">
        <f>VLOOKUP(J36,J$1:$L$601,1,FALSE)</f>
        <v>AHMEDABAD</v>
      </c>
      <c r="AI40" s="6" t="str">
        <f>VLOOKUP(K36,K$1:$L$601,1,FALSE)</f>
        <v>B2C</v>
      </c>
      <c r="AJ40" s="6">
        <f>VLOOKUP(L36,L$1:$L$601,1,FALSE)</f>
        <v>-199.18</v>
      </c>
    </row>
    <row r="41" spans="1:36" x14ac:dyDescent="0.25">
      <c r="A41">
        <v>1040</v>
      </c>
      <c r="B41" t="s">
        <v>86</v>
      </c>
      <c r="C41" t="s">
        <v>21</v>
      </c>
      <c r="D41" t="s">
        <v>87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19</v>
      </c>
      <c r="K41" t="s">
        <v>16</v>
      </c>
      <c r="L41" s="2">
        <v>693.6</v>
      </c>
      <c r="Y41" s="6">
        <f>VLOOKUP(A37,A$1:$L$601,1,FALSE)</f>
        <v>1036</v>
      </c>
      <c r="Z41" s="6" t="str">
        <f>VLOOKUP(B37,B$1:$L$601,1,FALSE)</f>
        <v>Connie Cunningham</v>
      </c>
      <c r="AA41" s="6" t="str">
        <f>VLOOKUP(C37,C$1:$L$601,1,FALSE)</f>
        <v>T-Shirts</v>
      </c>
      <c r="AB41" s="6" t="str">
        <f>VLOOKUP(D37,D$1:$L$601,1,FALSE)</f>
        <v>Graphic Tee</v>
      </c>
      <c r="AC41" s="6">
        <f>VLOOKUP(E37,E$1:$L$601,1,FALSE)</f>
        <v>1.5178571428571428</v>
      </c>
      <c r="AD41" s="6">
        <f>VLOOKUP(F37,F$1:$L$601,1,FALSE)</f>
        <v>2721.83</v>
      </c>
      <c r="AE41" s="6">
        <f>VLOOKUP(G37,G$1:$L$601,1,FALSE)</f>
        <v>0.65787878787878773</v>
      </c>
      <c r="AF41" s="6">
        <f>VLOOKUP(H37,H$1:$L$601,1,FALSE)</f>
        <v>0</v>
      </c>
      <c r="AG41" s="6">
        <f>VLOOKUP(I37,I$1:$L$601,1,FALSE)</f>
        <v>45388</v>
      </c>
      <c r="AH41" s="6" t="str">
        <f>VLOOKUP(J37,J$1:$L$601,1,FALSE)</f>
        <v>AHMEDABAD</v>
      </c>
      <c r="AI41" s="6" t="str">
        <f>VLOOKUP(K37,K$1:$L$601,1,FALSE)</f>
        <v>B2B</v>
      </c>
      <c r="AJ41" s="6">
        <f>VLOOKUP(L37,L$1:$L$601,1,FALSE)</f>
        <v>1213.95</v>
      </c>
    </row>
    <row r="42" spans="1:36" x14ac:dyDescent="0.25">
      <c r="A42">
        <v>1041</v>
      </c>
      <c r="B42" t="s">
        <v>88</v>
      </c>
      <c r="C42" t="s">
        <v>21</v>
      </c>
      <c r="D42" t="s">
        <v>22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19</v>
      </c>
      <c r="K42" t="s">
        <v>16</v>
      </c>
      <c r="L42" s="2">
        <v>-983.06</v>
      </c>
      <c r="Y42" s="6">
        <f>VLOOKUP(A38,A$1:$L$601,1,FALSE)</f>
        <v>1037</v>
      </c>
      <c r="Z42" s="6" t="str">
        <f>VLOOKUP(B38,B$1:$L$601,1,FALSE)</f>
        <v>Amy Martin</v>
      </c>
      <c r="AA42" s="6" t="str">
        <f>VLOOKUP(C38,C$1:$L$601,1,FALSE)</f>
        <v>Accessories</v>
      </c>
      <c r="AB42" s="6" t="str">
        <f>VLOOKUP(D38,D$1:$L$601,1,FALSE)</f>
        <v>Sunglasses</v>
      </c>
      <c r="AC42" s="6">
        <f>VLOOKUP(E38,E$1:$L$601,1,FALSE)</f>
        <v>2</v>
      </c>
      <c r="AD42" s="6">
        <f>VLOOKUP(F38,F$1:$L$601,1,FALSE)</f>
        <v>2706.1301960784322</v>
      </c>
      <c r="AE42" s="6">
        <f>VLOOKUP(G38,G$1:$L$601,1,FALSE)</f>
        <v>1.1000000000000001E-2</v>
      </c>
      <c r="AF42" s="6">
        <f>VLOOKUP(H38,H$1:$L$601,1,FALSE)</f>
        <v>0</v>
      </c>
      <c r="AG42" s="6">
        <f>VLOOKUP(I38,I$1:$L$601,1,FALSE)</f>
        <v>45626.838268792708</v>
      </c>
      <c r="AH42" s="6" t="str">
        <f>VLOOKUP(J38,J$1:$L$601,1,FALSE)</f>
        <v>AHMEDABAD</v>
      </c>
      <c r="AI42" s="6" t="str">
        <f>VLOOKUP(K38,K$1:$L$601,1,FALSE)</f>
        <v>B2B</v>
      </c>
      <c r="AJ42" s="6">
        <f>VLOOKUP(L38,L$1:$L$601,1,FALSE)</f>
        <v>907.77</v>
      </c>
    </row>
    <row r="43" spans="1:36" x14ac:dyDescent="0.25">
      <c r="A43">
        <v>1042</v>
      </c>
      <c r="B43" t="s">
        <v>89</v>
      </c>
      <c r="C43" t="s">
        <v>41</v>
      </c>
      <c r="D43" t="s">
        <v>90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48</v>
      </c>
      <c r="K43" t="s">
        <v>16</v>
      </c>
      <c r="L43" s="2">
        <v>283.39</v>
      </c>
      <c r="Y43" s="6">
        <f>VLOOKUP(A39,A$1:$L$601,1,FALSE)</f>
        <v>1038</v>
      </c>
      <c r="Z43" s="6" t="str">
        <f>VLOOKUP(B39,B$1:$L$601,1,FALSE)</f>
        <v>Courtney Riddle</v>
      </c>
      <c r="AA43" s="6" t="str">
        <f>VLOOKUP(C39,C$1:$L$601,1,FALSE)</f>
        <v>T-Shirts</v>
      </c>
      <c r="AB43" s="6" t="str">
        <f>VLOOKUP(D39,D$1:$L$601,1,FALSE)</f>
        <v>Crop Top</v>
      </c>
      <c r="AC43" s="6">
        <f>VLOOKUP(E39,E$1:$L$601,1,FALSE)</f>
        <v>3</v>
      </c>
      <c r="AD43" s="6">
        <f>VLOOKUP(F39,F$1:$L$601,1,FALSE)</f>
        <v>1692.38</v>
      </c>
      <c r="AE43" s="6">
        <f>VLOOKUP(G39,G$1:$L$601,1,FALSE)</f>
        <v>0.65787878787878773</v>
      </c>
      <c r="AF43" s="6">
        <f>VLOOKUP(H39,H$1:$L$601,1,FALSE)</f>
        <v>0</v>
      </c>
      <c r="AG43" s="6">
        <f>VLOOKUP(I39,I$1:$L$601,1,FALSE)</f>
        <v>45311</v>
      </c>
      <c r="AH43" s="6" t="str">
        <f>VLOOKUP(J39,J$1:$L$601,1,FALSE)</f>
        <v>BANGALORE</v>
      </c>
      <c r="AI43" s="6" t="str">
        <f>VLOOKUP(K39,K$1:$L$601,1,FALSE)</f>
        <v>B2C</v>
      </c>
      <c r="AJ43" s="6">
        <f>VLOOKUP(L39,L$1:$L$601,1,FALSE)</f>
        <v>1704.49</v>
      </c>
    </row>
    <row r="44" spans="1:36" x14ac:dyDescent="0.25">
      <c r="A44">
        <v>1043</v>
      </c>
      <c r="B44" t="s">
        <v>91</v>
      </c>
      <c r="C44" t="s">
        <v>36</v>
      </c>
      <c r="D44" t="s">
        <v>81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19</v>
      </c>
      <c r="K44" t="s">
        <v>16</v>
      </c>
      <c r="L44" s="2">
        <v>442.14</v>
      </c>
      <c r="Y44" s="6">
        <f>VLOOKUP(A40,A$1:$L$601,1,FALSE)</f>
        <v>1039</v>
      </c>
      <c r="Z44" s="6" t="str">
        <f>VLOOKUP(B40,B$1:$L$601,1,FALSE)</f>
        <v>Ashley Ramirez</v>
      </c>
      <c r="AA44" s="6" t="str">
        <f>VLOOKUP(C40,C$1:$L$601,1,FALSE)</f>
        <v>Shoes</v>
      </c>
      <c r="AB44" s="6" t="str">
        <f>VLOOKUP(D40,D$1:$L$601,1,FALSE)</f>
        <v>Boots</v>
      </c>
      <c r="AC44" s="6">
        <f>VLOOKUP(E40,E$1:$L$601,1,FALSE)</f>
        <v>1.6216216216216217</v>
      </c>
      <c r="AD44" s="6">
        <f>VLOOKUP(F40,F$1:$L$601,1,FALSE)</f>
        <v>1372.16</v>
      </c>
      <c r="AE44" s="6">
        <f>VLOOKUP(G40,G$1:$L$601,1,FALSE)</f>
        <v>0.56000000000000005</v>
      </c>
      <c r="AF44" s="6">
        <f>VLOOKUP(H40,H$1:$L$601,1,FALSE)</f>
        <v>0</v>
      </c>
      <c r="AG44" s="6">
        <f>VLOOKUP(I40,I$1:$L$601,1,FALSE)</f>
        <v>45797</v>
      </c>
      <c r="AH44" s="6" t="str">
        <f>VLOOKUP(J40,J$1:$L$601,1,FALSE)</f>
        <v>HYDERBAD</v>
      </c>
      <c r="AI44" s="6" t="str">
        <f>VLOOKUP(K40,K$1:$L$601,1,FALSE)</f>
        <v>B2C</v>
      </c>
      <c r="AJ44" s="6">
        <f>VLOOKUP(L40,L$1:$L$601,1,FALSE)</f>
        <v>1626.51</v>
      </c>
    </row>
    <row r="45" spans="1:36" x14ac:dyDescent="0.25">
      <c r="A45">
        <v>1044</v>
      </c>
      <c r="B45" t="s">
        <v>92</v>
      </c>
      <c r="C45" t="s">
        <v>36</v>
      </c>
      <c r="D45" t="s">
        <v>71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29</v>
      </c>
      <c r="K45" t="s">
        <v>24</v>
      </c>
      <c r="L45" s="2">
        <v>-80.23</v>
      </c>
      <c r="Y45" s="6">
        <f>VLOOKUP(A41,A$1:$L$601,1,FALSE)</f>
        <v>1040</v>
      </c>
      <c r="Z45" s="6" t="str">
        <f>VLOOKUP(B41,B$1:$L$601,1,FALSE)</f>
        <v>Angel Nelson</v>
      </c>
      <c r="AA45" s="6" t="str">
        <f>VLOOKUP(C41,C$1:$L$601,1,FALSE)</f>
        <v>Jackets</v>
      </c>
      <c r="AB45" s="6" t="str">
        <f>VLOOKUP(D41,D$1:$L$601,1,FALSE)</f>
        <v>Denim Jacket</v>
      </c>
      <c r="AC45" s="6">
        <f>VLOOKUP(E41,E$1:$L$601,1,FALSE)</f>
        <v>1.8076923076923077</v>
      </c>
      <c r="AD45" s="6">
        <f>VLOOKUP(F41,F$1:$L$601,1,FALSE)</f>
        <v>2811.5702272727276</v>
      </c>
      <c r="AE45" s="6">
        <f>VLOOKUP(G41,G$1:$L$601,1,FALSE)</f>
        <v>0.69969696969696993</v>
      </c>
      <c r="AF45" s="6">
        <f>VLOOKUP(H41,H$1:$L$601,1,FALSE)</f>
        <v>0</v>
      </c>
      <c r="AG45" s="6">
        <f>VLOOKUP(I41,I$1:$L$601,1,FALSE)</f>
        <v>45611</v>
      </c>
      <c r="AH45" s="6" t="str">
        <f>VLOOKUP(J41,J$1:$L$601,1,FALSE)</f>
        <v>AHMEDABAD</v>
      </c>
      <c r="AI45" s="6" t="str">
        <f>VLOOKUP(K41,K$1:$L$601,1,FALSE)</f>
        <v>B2C</v>
      </c>
      <c r="AJ45" s="6">
        <f>VLOOKUP(L41,L$1:$L$601,1,FALSE)</f>
        <v>693.6</v>
      </c>
    </row>
    <row r="46" spans="1:36" x14ac:dyDescent="0.25">
      <c r="A46">
        <v>1045</v>
      </c>
      <c r="B46" t="s">
        <v>93</v>
      </c>
      <c r="C46" t="s">
        <v>31</v>
      </c>
      <c r="D46" t="s">
        <v>44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33</v>
      </c>
      <c r="K46" t="s">
        <v>24</v>
      </c>
      <c r="L46" s="2">
        <v>1323.75</v>
      </c>
      <c r="Y46" s="6">
        <f>VLOOKUP(A42,A$1:$L$601,1,FALSE)</f>
        <v>1041</v>
      </c>
      <c r="Z46" s="6" t="str">
        <f>VLOOKUP(B42,B$1:$L$601,1,FALSE)</f>
        <v>Teresa Chavez</v>
      </c>
      <c r="AA46" s="6" t="str">
        <f>VLOOKUP(C42,C$1:$L$601,1,FALSE)</f>
        <v>Jackets</v>
      </c>
      <c r="AB46" s="6" t="str">
        <f>VLOOKUP(D42,D$1:$L$601,1,FALSE)</f>
        <v>Puffer Coat</v>
      </c>
      <c r="AC46" s="6">
        <f>VLOOKUP(E42,E$1:$L$601,1,FALSE)</f>
        <v>1.8076923076923077</v>
      </c>
      <c r="AD46" s="6">
        <f>VLOOKUP(F42,F$1:$L$601,1,FALSE)</f>
        <v>2811.5702272727276</v>
      </c>
      <c r="AE46" s="6">
        <f>VLOOKUP(G42,G$1:$L$601,1,FALSE)</f>
        <v>0.69969696969696993</v>
      </c>
      <c r="AF46" s="6">
        <f>VLOOKUP(H42,H$1:$L$601,1,FALSE)</f>
        <v>0</v>
      </c>
      <c r="AG46" s="6">
        <f>VLOOKUP(I42,I$1:$L$601,1,FALSE)</f>
        <v>45723</v>
      </c>
      <c r="AH46" s="6" t="str">
        <f>VLOOKUP(J42,J$1:$L$601,1,FALSE)</f>
        <v>AHMEDABAD</v>
      </c>
      <c r="AI46" s="6" t="str">
        <f>VLOOKUP(K42,K$1:$L$601,1,FALSE)</f>
        <v>B2C</v>
      </c>
      <c r="AJ46" s="6">
        <f>VLOOKUP(L42,L$1:$L$601,1,FALSE)</f>
        <v>-983.06</v>
      </c>
    </row>
    <row r="47" spans="1:36" x14ac:dyDescent="0.25">
      <c r="A47">
        <v>1046</v>
      </c>
      <c r="B47" t="s">
        <v>94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  <c r="Y47" s="6">
        <f>VLOOKUP(A43,A$1:$L$601,1,FALSE)</f>
        <v>1042</v>
      </c>
      <c r="Z47" s="6" t="str">
        <f>VLOOKUP(B43,B$1:$L$601,1,FALSE)</f>
        <v>Richard Williams</v>
      </c>
      <c r="AA47" s="6" t="str">
        <f>VLOOKUP(C43,C$1:$L$601,1,FALSE)</f>
        <v>Dresses</v>
      </c>
      <c r="AB47" s="6" t="str">
        <f>VLOOKUP(D43,D$1:$L$601,1,FALSE)</f>
        <v>Bodycon</v>
      </c>
      <c r="AC47" s="6">
        <f>VLOOKUP(E43,E$1:$L$601,1,FALSE)</f>
        <v>2.1864406779661016</v>
      </c>
      <c r="AD47" s="6">
        <f>VLOOKUP(F43,F$1:$L$601,1,FALSE)</f>
        <v>2949.9901960784309</v>
      </c>
      <c r="AE47" s="6">
        <f>VLOOKUP(G43,G$1:$L$601,1,FALSE)</f>
        <v>0.55000000000000004</v>
      </c>
      <c r="AF47" s="6">
        <f>VLOOKUP(H43,H$1:$L$601,1,FALSE)</f>
        <v>0</v>
      </c>
      <c r="AG47" s="6">
        <f>VLOOKUP(I43,I$1:$L$601,1,FALSE)</f>
        <v>45759</v>
      </c>
      <c r="AH47" s="6" t="str">
        <f>VLOOKUP(J43,J$1:$L$601,1,FALSE)</f>
        <v>PUNE</v>
      </c>
      <c r="AI47" s="6" t="str">
        <f>VLOOKUP(K43,K$1:$L$601,1,FALSE)</f>
        <v>B2C</v>
      </c>
      <c r="AJ47" s="6">
        <f>VLOOKUP(L43,L$1:$L$601,1,FALSE)</f>
        <v>283.39</v>
      </c>
    </row>
    <row r="48" spans="1:36" x14ac:dyDescent="0.25">
      <c r="A48">
        <v>1047</v>
      </c>
      <c r="B48" t="s">
        <v>95</v>
      </c>
      <c r="C48" t="s">
        <v>13</v>
      </c>
      <c r="D48" t="s">
        <v>51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33</v>
      </c>
      <c r="K48" t="s">
        <v>16</v>
      </c>
      <c r="L48" s="2">
        <v>-395.76</v>
      </c>
      <c r="Y48" s="6">
        <f>VLOOKUP(A44,A$1:$L$601,1,FALSE)</f>
        <v>1043</v>
      </c>
      <c r="Z48" s="6" t="str">
        <f>VLOOKUP(B44,B$1:$L$601,1,FALSE)</f>
        <v>Deborah Walker</v>
      </c>
      <c r="AA48" s="6" t="str">
        <f>VLOOKUP(C44,C$1:$L$601,1,FALSE)</f>
        <v>T-Shirts</v>
      </c>
      <c r="AB48" s="6" t="str">
        <f>VLOOKUP(D44,D$1:$L$601,1,FALSE)</f>
        <v>Graphic Tee</v>
      </c>
      <c r="AC48" s="6">
        <f>VLOOKUP(E44,E$1:$L$601,1,FALSE)</f>
        <v>1.5178571428571428</v>
      </c>
      <c r="AD48" s="6">
        <f>VLOOKUP(F44,F$1:$L$601,1,FALSE)</f>
        <v>4575.93</v>
      </c>
      <c r="AE48" s="6">
        <f>VLOOKUP(G44,G$1:$L$601,1,FALSE)</f>
        <v>0.56000000000000005</v>
      </c>
      <c r="AF48" s="6">
        <f>VLOOKUP(H44,H$1:$L$601,1,FALSE)</f>
        <v>0</v>
      </c>
      <c r="AG48" s="6">
        <f>VLOOKUP(I44,I$1:$L$601,1,FALSE)</f>
        <v>45752</v>
      </c>
      <c r="AH48" s="6" t="str">
        <f>VLOOKUP(J44,J$1:$L$601,1,FALSE)</f>
        <v>AHMEDABAD</v>
      </c>
      <c r="AI48" s="6" t="str">
        <f>VLOOKUP(K44,K$1:$L$601,1,FALSE)</f>
        <v>B2C</v>
      </c>
      <c r="AJ48" s="6">
        <f>VLOOKUP(L44,L$1:$L$601,1,FALSE)</f>
        <v>442.14</v>
      </c>
    </row>
    <row r="49" spans="1:36" x14ac:dyDescent="0.25">
      <c r="A49">
        <v>1048</v>
      </c>
      <c r="B49" t="s">
        <v>96</v>
      </c>
      <c r="C49" t="s">
        <v>13</v>
      </c>
      <c r="D49" t="s">
        <v>51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  <c r="Y49" s="6">
        <f>VLOOKUP(A45,A$1:$L$601,1,FALSE)</f>
        <v>1044</v>
      </c>
      <c r="Z49" s="6" t="str">
        <f>VLOOKUP(B45,B$1:$L$601,1,FALSE)</f>
        <v>Elizabeth Williams</v>
      </c>
      <c r="AA49" s="6" t="str">
        <f>VLOOKUP(C45,C$1:$L$601,1,FALSE)</f>
        <v>T-Shirts</v>
      </c>
      <c r="AB49" s="6" t="str">
        <f>VLOOKUP(D45,D$1:$L$601,1,FALSE)</f>
        <v>Classic Tee</v>
      </c>
      <c r="AC49" s="6">
        <f>VLOOKUP(E45,E$1:$L$601,1,FALSE)</f>
        <v>1.5178571428571428</v>
      </c>
      <c r="AD49" s="6">
        <f>VLOOKUP(F45,F$1:$L$601,1,FALSE)</f>
        <v>2742.2927659574466</v>
      </c>
      <c r="AE49" s="6">
        <f>VLOOKUP(G45,G$1:$L$601,1,FALSE)</f>
        <v>0.65787878787878773</v>
      </c>
      <c r="AF49" s="6">
        <f>VLOOKUP(H45,H$1:$L$601,1,FALSE)</f>
        <v>0</v>
      </c>
      <c r="AG49" s="6">
        <f>VLOOKUP(I45,I$1:$L$601,1,FALSE)</f>
        <v>45547</v>
      </c>
      <c r="AH49" s="6" t="str">
        <f>VLOOKUP(J45,J$1:$L$601,1,FALSE)</f>
        <v>BANGALORE</v>
      </c>
      <c r="AI49" s="6" t="str">
        <f>VLOOKUP(K45,K$1:$L$601,1,FALSE)</f>
        <v>B2B</v>
      </c>
      <c r="AJ49" s="6">
        <f>VLOOKUP(L45,L$1:$L$601,1,FALSE)</f>
        <v>-80.23</v>
      </c>
    </row>
    <row r="50" spans="1:36" x14ac:dyDescent="0.25">
      <c r="A50">
        <v>1049</v>
      </c>
      <c r="B50" t="s">
        <v>97</v>
      </c>
      <c r="C50" t="s">
        <v>36</v>
      </c>
      <c r="D50" t="s">
        <v>81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23</v>
      </c>
      <c r="K50" t="s">
        <v>16</v>
      </c>
      <c r="L50" s="2">
        <v>19.87</v>
      </c>
      <c r="Y50" s="6">
        <f>VLOOKUP(A46,A$1:$L$601,1,FALSE)</f>
        <v>1045</v>
      </c>
      <c r="Z50" s="6" t="str">
        <f>VLOOKUP(B46,B$1:$L$601,1,FALSE)</f>
        <v>Connie Mills</v>
      </c>
      <c r="AA50" s="6" t="str">
        <f>VLOOKUP(C46,C$1:$L$601,1,FALSE)</f>
        <v>Accessories</v>
      </c>
      <c r="AB50" s="6" t="str">
        <f>VLOOKUP(D46,D$1:$L$601,1,FALSE)</f>
        <v>Sunglasses</v>
      </c>
      <c r="AC50" s="6">
        <f>VLOOKUP(E46,E$1:$L$601,1,FALSE)</f>
        <v>2.4893617021276597</v>
      </c>
      <c r="AD50" s="6">
        <f>VLOOKUP(F46,F$1:$L$601,1,FALSE)</f>
        <v>3477.16</v>
      </c>
      <c r="AE50" s="6">
        <f>VLOOKUP(G46,G$1:$L$601,1,FALSE)</f>
        <v>0.70297297297297334</v>
      </c>
      <c r="AF50" s="6">
        <f>VLOOKUP(H46,H$1:$L$601,1,FALSE)</f>
        <v>0</v>
      </c>
      <c r="AG50" s="6">
        <f>VLOOKUP(I46,I$1:$L$601,1,FALSE)</f>
        <v>45932</v>
      </c>
      <c r="AH50" s="6" t="str">
        <f>VLOOKUP(J46,J$1:$L$601,1,FALSE)</f>
        <v>HYDERBAD</v>
      </c>
      <c r="AI50" s="6" t="str">
        <f>VLOOKUP(K46,K$1:$L$601,1,FALSE)</f>
        <v>B2B</v>
      </c>
      <c r="AJ50" s="6">
        <f>VLOOKUP(L46,L$1:$L$601,1,FALSE)</f>
        <v>1323.75</v>
      </c>
    </row>
    <row r="51" spans="1:36" x14ac:dyDescent="0.25">
      <c r="A51">
        <v>1050</v>
      </c>
      <c r="B51" t="s">
        <v>98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48</v>
      </c>
      <c r="K51" t="s">
        <v>16</v>
      </c>
      <c r="L51" s="2">
        <v>2904.29</v>
      </c>
      <c r="Y51" s="6">
        <f>VLOOKUP(A47,A$1:$L$601,1,FALSE)</f>
        <v>1046</v>
      </c>
      <c r="Z51" s="6" t="str">
        <f>VLOOKUP(B47,B$1:$L$601,1,FALSE)</f>
        <v>Charlotte Cook</v>
      </c>
      <c r="AA51" s="6" t="str">
        <f>VLOOKUP(C47,C$1:$L$601,1,FALSE)</f>
        <v>Jeans</v>
      </c>
      <c r="AB51" s="6" t="str">
        <f>VLOOKUP(D47,D$1:$L$601,1,FALSE)</f>
        <v>Slim Fit Jeans</v>
      </c>
      <c r="AC51" s="6">
        <f>VLOOKUP(E47,E$1:$L$601,1,FALSE)</f>
        <v>1.5178571428571428</v>
      </c>
      <c r="AD51" s="6">
        <f>VLOOKUP(F47,F$1:$L$601,1,FALSE)</f>
        <v>2441.92</v>
      </c>
      <c r="AE51" s="6">
        <f>VLOOKUP(G47,G$1:$L$601,1,FALSE)</f>
        <v>0.92</v>
      </c>
      <c r="AF51" s="6">
        <f>VLOOKUP(H47,H$1:$L$601,1,FALSE)</f>
        <v>-195.35</v>
      </c>
      <c r="AG51" s="6">
        <f>VLOOKUP(I47,I$1:$L$601,1,FALSE)</f>
        <v>45626.838268792708</v>
      </c>
      <c r="AH51" s="6" t="str">
        <f>VLOOKUP(J47,J$1:$L$601,1,FALSE)</f>
        <v>DELHI</v>
      </c>
      <c r="AI51" s="6" t="str">
        <f>VLOOKUP(K47,K$1:$L$601,1,FALSE)</f>
        <v>B2C</v>
      </c>
      <c r="AJ51" s="6">
        <f>VLOOKUP(L47,L$1:$L$601,1,FALSE)</f>
        <v>1004.91</v>
      </c>
    </row>
    <row r="52" spans="1:36" x14ac:dyDescent="0.25">
      <c r="A52">
        <v>1051</v>
      </c>
      <c r="B52" t="s">
        <v>99</v>
      </c>
      <c r="C52" t="s">
        <v>13</v>
      </c>
      <c r="D52" t="s">
        <v>39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  <c r="Y52" s="6">
        <f>VLOOKUP(A48,A$1:$L$601,1,FALSE)</f>
        <v>1047</v>
      </c>
      <c r="Z52" s="6" t="str">
        <f>VLOOKUP(B48,B$1:$L$601,1,FALSE)</f>
        <v>Matthew Thompson</v>
      </c>
      <c r="AA52" s="6" t="str">
        <f>VLOOKUP(C48,C$1:$L$601,1,FALSE)</f>
        <v>Jeans</v>
      </c>
      <c r="AB52" s="6" t="str">
        <f>VLOOKUP(D48,D$1:$L$601,1,FALSE)</f>
        <v>Straight Cut</v>
      </c>
      <c r="AC52" s="6">
        <f>VLOOKUP(E48,E$1:$L$601,1,FALSE)</f>
        <v>3</v>
      </c>
      <c r="AD52" s="6">
        <f>VLOOKUP(F48,F$1:$L$601,1,FALSE)</f>
        <v>2676.4254237288142</v>
      </c>
      <c r="AE52" s="6">
        <f>VLOOKUP(G48,G$1:$L$601,1,FALSE)</f>
        <v>0.58977272727272723</v>
      </c>
      <c r="AF52" s="6">
        <f>VLOOKUP(H48,H$1:$L$601,1,FALSE)</f>
        <v>0</v>
      </c>
      <c r="AG52" s="6">
        <f>VLOOKUP(I48,I$1:$L$601,1,FALSE)</f>
        <v>45997</v>
      </c>
      <c r="AH52" s="6" t="str">
        <f>VLOOKUP(J48,J$1:$L$601,1,FALSE)</f>
        <v>HYDERBAD</v>
      </c>
      <c r="AI52" s="6" t="str">
        <f>VLOOKUP(K48,K$1:$L$601,1,FALSE)</f>
        <v>B2C</v>
      </c>
      <c r="AJ52" s="6">
        <f>VLOOKUP(L48,L$1:$L$601,1,FALSE)</f>
        <v>-395.76</v>
      </c>
    </row>
    <row r="53" spans="1:36" x14ac:dyDescent="0.25">
      <c r="A53">
        <v>1052</v>
      </c>
      <c r="B53" t="s">
        <v>100</v>
      </c>
      <c r="C53" t="s">
        <v>13</v>
      </c>
      <c r="D53" t="s">
        <v>101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29</v>
      </c>
      <c r="K53" t="s">
        <v>16</v>
      </c>
      <c r="L53" s="2">
        <v>-11.15</v>
      </c>
      <c r="Y53" s="6">
        <f>VLOOKUP(A49,A$1:$L$601,1,FALSE)</f>
        <v>1048</v>
      </c>
      <c r="Z53" s="6" t="str">
        <f>VLOOKUP(B49,B$1:$L$601,1,FALSE)</f>
        <v>James Hughes</v>
      </c>
      <c r="AA53" s="6" t="str">
        <f>VLOOKUP(C49,C$1:$L$601,1,FALSE)</f>
        <v>Jeans</v>
      </c>
      <c r="AB53" s="6" t="str">
        <f>VLOOKUP(D49,D$1:$L$601,1,FALSE)</f>
        <v>Straight Cut</v>
      </c>
      <c r="AC53" s="6">
        <f>VLOOKUP(E49,E$1:$L$601,1,FALSE)</f>
        <v>5</v>
      </c>
      <c r="AD53" s="6">
        <f>VLOOKUP(F49,F$1:$L$601,1,FALSE)</f>
        <v>2676.4254237288142</v>
      </c>
      <c r="AE53" s="6">
        <f>VLOOKUP(G49,G$1:$L$601,1,FALSE)</f>
        <v>0.41</v>
      </c>
      <c r="AF53" s="6">
        <f>VLOOKUP(H49,H$1:$L$601,1,FALSE)</f>
        <v>0</v>
      </c>
      <c r="AG53" s="6">
        <f>VLOOKUP(I49,I$1:$L$601,1,FALSE)</f>
        <v>45581</v>
      </c>
      <c r="AH53" s="6" t="str">
        <f>VLOOKUP(J49,J$1:$L$601,1,FALSE)</f>
        <v>DELHI</v>
      </c>
      <c r="AI53" s="6" t="str">
        <f>VLOOKUP(K49,K$1:$L$601,1,FALSE)</f>
        <v>B2C</v>
      </c>
      <c r="AJ53" s="6">
        <f>VLOOKUP(L49,L$1:$L$601,1,FALSE)</f>
        <v>2409.2600000000002</v>
      </c>
    </row>
    <row r="54" spans="1:36" x14ac:dyDescent="0.25">
      <c r="A54">
        <v>1053</v>
      </c>
      <c r="B54" t="s">
        <v>102</v>
      </c>
      <c r="C54" t="s">
        <v>41</v>
      </c>
      <c r="D54" t="s">
        <v>59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  <c r="Y54" s="6">
        <f>VLOOKUP(A50,A$1:$L$601,1,FALSE)</f>
        <v>1049</v>
      </c>
      <c r="Z54" s="6" t="str">
        <f>VLOOKUP(B50,B$1:$L$601,1,FALSE)</f>
        <v>Kimberly Anderson</v>
      </c>
      <c r="AA54" s="6" t="str">
        <f>VLOOKUP(C50,C$1:$L$601,1,FALSE)</f>
        <v>T-Shirts</v>
      </c>
      <c r="AB54" s="6" t="str">
        <f>VLOOKUP(D50,D$1:$L$601,1,FALSE)</f>
        <v>Graphic Tee</v>
      </c>
      <c r="AC54" s="6">
        <f>VLOOKUP(E50,E$1:$L$601,1,FALSE)</f>
        <v>1.5178571428571428</v>
      </c>
      <c r="AD54" s="6">
        <f>VLOOKUP(F50,F$1:$L$601,1,FALSE)</f>
        <v>2742.2927659574466</v>
      </c>
      <c r="AE54" s="6">
        <f>VLOOKUP(G50,G$1:$L$601,1,FALSE)</f>
        <v>0.65787878787878773</v>
      </c>
      <c r="AF54" s="6">
        <f>VLOOKUP(H50,H$1:$L$601,1,FALSE)</f>
        <v>0</v>
      </c>
      <c r="AG54" s="6">
        <f>VLOOKUP(I50,I$1:$L$601,1,FALSE)</f>
        <v>45626.838268792708</v>
      </c>
      <c r="AH54" s="6" t="str">
        <f>VLOOKUP(J50,J$1:$L$601,1,FALSE)</f>
        <v>MUMBAI</v>
      </c>
      <c r="AI54" s="6" t="str">
        <f>VLOOKUP(K50,K$1:$L$601,1,FALSE)</f>
        <v>B2C</v>
      </c>
      <c r="AJ54" s="6">
        <f>VLOOKUP(L50,L$1:$L$601,1,FALSE)</f>
        <v>19.87</v>
      </c>
    </row>
    <row r="55" spans="1:36" x14ac:dyDescent="0.25">
      <c r="A55">
        <v>1054</v>
      </c>
      <c r="B55" t="s">
        <v>103</v>
      </c>
      <c r="C55" t="s">
        <v>36</v>
      </c>
      <c r="D55" t="s">
        <v>71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48</v>
      </c>
      <c r="K55" t="s">
        <v>16</v>
      </c>
      <c r="L55" s="2">
        <v>1002.96</v>
      </c>
      <c r="Y55" s="6">
        <f>VLOOKUP(A51,A$1:$L$601,1,FALSE)</f>
        <v>1050</v>
      </c>
      <c r="Z55" s="6" t="str">
        <f>VLOOKUP(B51,B$1:$L$601,1,FALSE)</f>
        <v>Matthew Schmidt</v>
      </c>
      <c r="AA55" s="6" t="str">
        <f>VLOOKUP(C51,C$1:$L$601,1,FALSE)</f>
        <v>Jeans</v>
      </c>
      <c r="AB55" s="6" t="str">
        <f>VLOOKUP(D51,D$1:$L$601,1,FALSE)</f>
        <v>Slim Fit Jeans</v>
      </c>
      <c r="AC55" s="6">
        <f>VLOOKUP(E51,E$1:$L$601,1,FALSE)</f>
        <v>1.5178571428571428</v>
      </c>
      <c r="AD55" s="6">
        <f>VLOOKUP(F51,F$1:$L$601,1,FALSE)</f>
        <v>1083.1600000000001</v>
      </c>
      <c r="AE55" s="6">
        <f>VLOOKUP(G51,G$1:$L$601,1,FALSE)</f>
        <v>0.58977272727272723</v>
      </c>
      <c r="AF55" s="6">
        <f>VLOOKUP(H51,H$1:$L$601,1,FALSE)</f>
        <v>0</v>
      </c>
      <c r="AG55" s="6">
        <f>VLOOKUP(I51,I$1:$L$601,1,FALSE)</f>
        <v>45846</v>
      </c>
      <c r="AH55" s="6" t="str">
        <f>VLOOKUP(J51,J$1:$L$601,1,FALSE)</f>
        <v>PUNE</v>
      </c>
      <c r="AI55" s="6" t="str">
        <f>VLOOKUP(K51,K$1:$L$601,1,FALSE)</f>
        <v>B2C</v>
      </c>
      <c r="AJ55" s="6">
        <f>VLOOKUP(L51,L$1:$L$601,1,FALSE)</f>
        <v>2904.29</v>
      </c>
    </row>
    <row r="56" spans="1:36" x14ac:dyDescent="0.25">
      <c r="A56">
        <v>1055</v>
      </c>
      <c r="B56" t="s">
        <v>104</v>
      </c>
      <c r="C56" t="s">
        <v>13</v>
      </c>
      <c r="D56" t="s">
        <v>39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48</v>
      </c>
      <c r="K56" t="s">
        <v>24</v>
      </c>
      <c r="L56" s="2">
        <v>1374.9</v>
      </c>
      <c r="Y56" s="6">
        <f>VLOOKUP(A52,A$1:$L$601,1,FALSE)</f>
        <v>1051</v>
      </c>
      <c r="Z56" s="6" t="str">
        <f>VLOOKUP(B52,B$1:$L$601,1,FALSE)</f>
        <v>Eric Wilson</v>
      </c>
      <c r="AA56" s="6" t="str">
        <f>VLOOKUP(C52,C$1:$L$601,1,FALSE)</f>
        <v>Jeans</v>
      </c>
      <c r="AB56" s="6" t="str">
        <f>VLOOKUP(D52,D$1:$L$601,1,FALSE)</f>
        <v>Boyfriend Jeans</v>
      </c>
      <c r="AC56" s="6">
        <f>VLOOKUP(E52,E$1:$L$601,1,FALSE)</f>
        <v>2.1052631578947367</v>
      </c>
      <c r="AD56" s="6">
        <f>VLOOKUP(F52,F$1:$L$601,1,FALSE)</f>
        <v>2676.4254237288142</v>
      </c>
      <c r="AE56" s="6">
        <f>VLOOKUP(G52,G$1:$L$601,1,FALSE)</f>
        <v>0.56999999999999995</v>
      </c>
      <c r="AF56" s="6">
        <f>VLOOKUP(H52,H$1:$L$601,1,FALSE)</f>
        <v>0</v>
      </c>
      <c r="AG56" s="6">
        <f>VLOOKUP(I52,I$1:$L$601,1,FALSE)</f>
        <v>45773</v>
      </c>
      <c r="AH56" s="6" t="str">
        <f>VLOOKUP(J52,J$1:$L$601,1,FALSE)</f>
        <v>DELHI</v>
      </c>
      <c r="AI56" s="6" t="str">
        <f>VLOOKUP(K52,K$1:$L$601,1,FALSE)</f>
        <v>B2C</v>
      </c>
      <c r="AJ56" s="6">
        <f>VLOOKUP(L52,L$1:$L$601,1,FALSE)</f>
        <v>2857.9</v>
      </c>
    </row>
    <row r="57" spans="1:36" x14ac:dyDescent="0.25">
      <c r="A57">
        <v>1056</v>
      </c>
      <c r="B57" t="s">
        <v>105</v>
      </c>
      <c r="C57" t="s">
        <v>31</v>
      </c>
      <c r="D57" t="s">
        <v>44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23</v>
      </c>
      <c r="K57" t="s">
        <v>16</v>
      </c>
      <c r="L57" s="2">
        <v>-343.36</v>
      </c>
      <c r="Y57" s="6">
        <f>VLOOKUP(A53,A$1:$L$601,1,FALSE)</f>
        <v>1052</v>
      </c>
      <c r="Z57" s="6" t="str">
        <f>VLOOKUP(B53,B$1:$L$601,1,FALSE)</f>
        <v>Zachary Ramos</v>
      </c>
      <c r="AA57" s="6" t="str">
        <f>VLOOKUP(C53,C$1:$L$601,1,FALSE)</f>
        <v>Jeans</v>
      </c>
      <c r="AB57" s="6" t="str">
        <f>VLOOKUP(D53,D$1:$L$601,1,FALSE)</f>
        <v>Ripped Denim</v>
      </c>
      <c r="AC57" s="6">
        <f>VLOOKUP(E53,E$1:$L$601,1,FALSE)</f>
        <v>2.1052631578947367</v>
      </c>
      <c r="AD57" s="6">
        <f>VLOOKUP(F53,F$1:$L$601,1,FALSE)</f>
        <v>3252.49</v>
      </c>
      <c r="AE57" s="6">
        <f>VLOOKUP(G53,G$1:$L$601,1,FALSE)</f>
        <v>0.56000000000000005</v>
      </c>
      <c r="AF57" s="6">
        <f>VLOOKUP(H53,H$1:$L$601,1,FALSE)</f>
        <v>0</v>
      </c>
      <c r="AG57" s="6">
        <f>VLOOKUP(I53,I$1:$L$601,1,FALSE)</f>
        <v>45268</v>
      </c>
      <c r="AH57" s="6" t="str">
        <f>VLOOKUP(J53,J$1:$L$601,1,FALSE)</f>
        <v>BANGALORE</v>
      </c>
      <c r="AI57" s="6" t="str">
        <f>VLOOKUP(K53,K$1:$L$601,1,FALSE)</f>
        <v>B2C</v>
      </c>
      <c r="AJ57" s="6">
        <f>VLOOKUP(L53,L$1:$L$601,1,FALSE)</f>
        <v>-11.15</v>
      </c>
    </row>
    <row r="58" spans="1:36" x14ac:dyDescent="0.25">
      <c r="A58">
        <v>1057</v>
      </c>
      <c r="B58" t="s">
        <v>106</v>
      </c>
      <c r="C58" t="s">
        <v>21</v>
      </c>
      <c r="D58" t="s">
        <v>22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48</v>
      </c>
      <c r="K58" t="s">
        <v>16</v>
      </c>
      <c r="L58" s="2">
        <v>1725.76</v>
      </c>
      <c r="Y58" s="6">
        <f>VLOOKUP(A54,A$1:$L$601,1,FALSE)</f>
        <v>1053</v>
      </c>
      <c r="Z58" s="6" t="str">
        <f>VLOOKUP(B54,B$1:$L$601,1,FALSE)</f>
        <v>Debra Pollard</v>
      </c>
      <c r="AA58" s="6" t="str">
        <f>VLOOKUP(C54,C$1:$L$601,1,FALSE)</f>
        <v>Dresses</v>
      </c>
      <c r="AB58" s="6" t="str">
        <f>VLOOKUP(D54,D$1:$L$601,1,FALSE)</f>
        <v>Maxi Dress</v>
      </c>
      <c r="AC58" s="6">
        <f>VLOOKUP(E54,E$1:$L$601,1,FALSE)</f>
        <v>2.1864406779661016</v>
      </c>
      <c r="AD58" s="6">
        <f>VLOOKUP(F54,F$1:$L$601,1,FALSE)</f>
        <v>714.23</v>
      </c>
      <c r="AE58" s="6">
        <f>VLOOKUP(G54,G$1:$L$601,1,FALSE)</f>
        <v>1.29E-2</v>
      </c>
      <c r="AF58" s="6">
        <f>VLOOKUP(H54,H$1:$L$601,1,FALSE)</f>
        <v>0</v>
      </c>
      <c r="AG58" s="6">
        <f>VLOOKUP(I54,I$1:$L$601,1,FALSE)</f>
        <v>45859</v>
      </c>
      <c r="AH58" s="6" t="str">
        <f>VLOOKUP(J54,J$1:$L$601,1,FALSE)</f>
        <v>DELHI</v>
      </c>
      <c r="AI58" s="6" t="str">
        <f>VLOOKUP(K54,K$1:$L$601,1,FALSE)</f>
        <v>B2C</v>
      </c>
      <c r="AJ58" s="6">
        <f>VLOOKUP(L54,L$1:$L$601,1,FALSE)</f>
        <v>1057.24</v>
      </c>
    </row>
    <row r="59" spans="1:36" x14ac:dyDescent="0.25">
      <c r="A59">
        <v>1058</v>
      </c>
      <c r="B59" t="s">
        <v>107</v>
      </c>
      <c r="C59" t="s">
        <v>36</v>
      </c>
      <c r="D59" t="s">
        <v>46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48</v>
      </c>
      <c r="K59" t="s">
        <v>16</v>
      </c>
      <c r="L59" s="2">
        <v>1912.49</v>
      </c>
      <c r="Y59" s="6">
        <f>VLOOKUP(A55,A$1:$L$601,1,FALSE)</f>
        <v>1054</v>
      </c>
      <c r="Z59" s="6" t="str">
        <f>VLOOKUP(B55,B$1:$L$601,1,FALSE)</f>
        <v>Angela Martinez</v>
      </c>
      <c r="AA59" s="6" t="str">
        <f>VLOOKUP(C55,C$1:$L$601,1,FALSE)</f>
        <v>T-Shirts</v>
      </c>
      <c r="AB59" s="6" t="str">
        <f>VLOOKUP(D55,D$1:$L$601,1,FALSE)</f>
        <v>Classic Tee</v>
      </c>
      <c r="AC59" s="6">
        <f>VLOOKUP(E55,E$1:$L$601,1,FALSE)</f>
        <v>1.5178571428571428</v>
      </c>
      <c r="AD59" s="6">
        <f>VLOOKUP(F55,F$1:$L$601,1,FALSE)</f>
        <v>2742.2927659574466</v>
      </c>
      <c r="AE59" s="6">
        <f>VLOOKUP(G55,G$1:$L$601,1,FALSE)</f>
        <v>0.65787878787878773</v>
      </c>
      <c r="AF59" s="6">
        <f>VLOOKUP(H55,H$1:$L$601,1,FALSE)</f>
        <v>0</v>
      </c>
      <c r="AG59" s="6">
        <f>VLOOKUP(I55,I$1:$L$601,1,FALSE)</f>
        <v>45700</v>
      </c>
      <c r="AH59" s="6" t="str">
        <f>VLOOKUP(J55,J$1:$L$601,1,FALSE)</f>
        <v>PUNE</v>
      </c>
      <c r="AI59" s="6" t="str">
        <f>VLOOKUP(K55,K$1:$L$601,1,FALSE)</f>
        <v>B2C</v>
      </c>
      <c r="AJ59" s="6">
        <f>VLOOKUP(L55,L$1:$L$601,1,FALSE)</f>
        <v>1002.96</v>
      </c>
    </row>
    <row r="60" spans="1:36" x14ac:dyDescent="0.25">
      <c r="A60">
        <v>1059</v>
      </c>
      <c r="B60" t="s">
        <v>108</v>
      </c>
      <c r="C60" t="s">
        <v>13</v>
      </c>
      <c r="D60" t="s">
        <v>39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  <c r="Y60" s="6">
        <f>VLOOKUP(A56,A$1:$L$601,1,FALSE)</f>
        <v>1055</v>
      </c>
      <c r="Z60" s="6" t="str">
        <f>VLOOKUP(B56,B$1:$L$601,1,FALSE)</f>
        <v>Brett Burch</v>
      </c>
      <c r="AA60" s="6" t="str">
        <f>VLOOKUP(C56,C$1:$L$601,1,FALSE)</f>
        <v>Jeans</v>
      </c>
      <c r="AB60" s="6" t="str">
        <f>VLOOKUP(D56,D$1:$L$601,1,FALSE)</f>
        <v>Boyfriend Jeans</v>
      </c>
      <c r="AC60" s="6">
        <f>VLOOKUP(E56,E$1:$L$601,1,FALSE)</f>
        <v>0</v>
      </c>
      <c r="AD60" s="6">
        <f>VLOOKUP(F56,F$1:$L$601,1,FALSE)</f>
        <v>2676.4254237288142</v>
      </c>
      <c r="AE60" s="6">
        <f>VLOOKUP(G56,G$1:$L$601,1,FALSE)</f>
        <v>0.58977272727272723</v>
      </c>
      <c r="AF60" s="6">
        <f>VLOOKUP(H56,H$1:$L$601,1,FALSE)</f>
        <v>0</v>
      </c>
      <c r="AG60" s="6">
        <f>VLOOKUP(I56,I$1:$L$601,1,FALSE)</f>
        <v>45353</v>
      </c>
      <c r="AH60" s="6" t="str">
        <f>VLOOKUP(J56,J$1:$L$601,1,FALSE)</f>
        <v>PUNE</v>
      </c>
      <c r="AI60" s="6" t="str">
        <f>VLOOKUP(K56,K$1:$L$601,1,FALSE)</f>
        <v>B2B</v>
      </c>
      <c r="AJ60" s="6">
        <f>VLOOKUP(L56,L$1:$L$601,1,FALSE)</f>
        <v>1374.9</v>
      </c>
    </row>
    <row r="61" spans="1:36" x14ac:dyDescent="0.25">
      <c r="A61">
        <v>1060</v>
      </c>
      <c r="B61" t="s">
        <v>109</v>
      </c>
      <c r="C61" t="s">
        <v>13</v>
      </c>
      <c r="D61" t="s">
        <v>101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48</v>
      </c>
      <c r="K61" t="s">
        <v>16</v>
      </c>
      <c r="L61" s="2">
        <v>94.96</v>
      </c>
      <c r="Y61" s="6">
        <f>VLOOKUP(A57,A$1:$L$601,1,FALSE)</f>
        <v>1056</v>
      </c>
      <c r="Z61" s="6" t="str">
        <f>VLOOKUP(B57,B$1:$L$601,1,FALSE)</f>
        <v>Jennifer English</v>
      </c>
      <c r="AA61" s="6" t="str">
        <f>VLOOKUP(C57,C$1:$L$601,1,FALSE)</f>
        <v>Accessories</v>
      </c>
      <c r="AB61" s="6" t="str">
        <f>VLOOKUP(D57,D$1:$L$601,1,FALSE)</f>
        <v>Sunglasses</v>
      </c>
      <c r="AC61" s="6">
        <f>VLOOKUP(E57,E$1:$L$601,1,FALSE)</f>
        <v>6</v>
      </c>
      <c r="AD61" s="6">
        <f>VLOOKUP(F57,F$1:$L$601,1,FALSE)</f>
        <v>2706.1301960784322</v>
      </c>
      <c r="AE61" s="6">
        <f>VLOOKUP(G57,G$1:$L$601,1,FALSE)</f>
        <v>0.70297297297297334</v>
      </c>
      <c r="AF61" s="6">
        <f>VLOOKUP(H57,H$1:$L$601,1,FALSE)</f>
        <v>0</v>
      </c>
      <c r="AG61" s="6">
        <f>VLOOKUP(I57,I$1:$L$601,1,FALSE)</f>
        <v>45849</v>
      </c>
      <c r="AH61" s="6" t="str">
        <f>VLOOKUP(J57,J$1:$L$601,1,FALSE)</f>
        <v>MUMBAI</v>
      </c>
      <c r="AI61" s="6" t="str">
        <f>VLOOKUP(K57,K$1:$L$601,1,FALSE)</f>
        <v>B2C</v>
      </c>
      <c r="AJ61" s="6">
        <f>VLOOKUP(L57,L$1:$L$601,1,FALSE)</f>
        <v>-343.36</v>
      </c>
    </row>
    <row r="62" spans="1:36" x14ac:dyDescent="0.25">
      <c r="A62">
        <v>1061</v>
      </c>
      <c r="B62" t="s">
        <v>110</v>
      </c>
      <c r="C62" t="s">
        <v>31</v>
      </c>
      <c r="D62" t="s">
        <v>32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23</v>
      </c>
      <c r="K62" t="s">
        <v>24</v>
      </c>
      <c r="L62" s="2">
        <v>2536.3000000000002</v>
      </c>
      <c r="Y62" s="6">
        <f>VLOOKUP(A58,A$1:$L$601,1,FALSE)</f>
        <v>1057</v>
      </c>
      <c r="Z62" s="6" t="str">
        <f>VLOOKUP(B58,B$1:$L$601,1,FALSE)</f>
        <v>Penny Campbell</v>
      </c>
      <c r="AA62" s="6" t="str">
        <f>VLOOKUP(C58,C$1:$L$601,1,FALSE)</f>
        <v>Jackets</v>
      </c>
      <c r="AB62" s="6" t="str">
        <f>VLOOKUP(D58,D$1:$L$601,1,FALSE)</f>
        <v>Puffer Coat</v>
      </c>
      <c r="AC62" s="6">
        <f>VLOOKUP(E58,E$1:$L$601,1,FALSE)</f>
        <v>4</v>
      </c>
      <c r="AD62" s="6">
        <f>VLOOKUP(F58,F$1:$L$601,1,FALSE)</f>
        <v>2811.5702272727276</v>
      </c>
      <c r="AE62" s="6">
        <f>VLOOKUP(G58,G$1:$L$601,1,FALSE)</f>
        <v>0.04</v>
      </c>
      <c r="AF62" s="6">
        <f>VLOOKUP(H58,H$1:$L$601,1,FALSE)</f>
        <v>0</v>
      </c>
      <c r="AG62" s="6">
        <f>VLOOKUP(I58,I$1:$L$601,1,FALSE)</f>
        <v>45649</v>
      </c>
      <c r="AH62" s="6" t="str">
        <f>VLOOKUP(J58,J$1:$L$601,1,FALSE)</f>
        <v>PUNE</v>
      </c>
      <c r="AI62" s="6" t="str">
        <f>VLOOKUP(K58,K$1:$L$601,1,FALSE)</f>
        <v>B2C</v>
      </c>
      <c r="AJ62" s="6">
        <f>VLOOKUP(L58,L$1:$L$601,1,FALSE)</f>
        <v>1725.76</v>
      </c>
    </row>
    <row r="63" spans="1:36" x14ac:dyDescent="0.25">
      <c r="A63">
        <v>1062</v>
      </c>
      <c r="B63" t="s">
        <v>111</v>
      </c>
      <c r="C63" t="s">
        <v>13</v>
      </c>
      <c r="D63" t="s">
        <v>101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48</v>
      </c>
      <c r="K63" t="s">
        <v>16</v>
      </c>
      <c r="L63" s="2">
        <v>328.72</v>
      </c>
      <c r="Y63" s="6">
        <f>VLOOKUP(A59,A$1:$L$601,1,FALSE)</f>
        <v>1058</v>
      </c>
      <c r="Z63" s="6" t="str">
        <f>VLOOKUP(B59,B$1:$L$601,1,FALSE)</f>
        <v>Karen Garcia</v>
      </c>
      <c r="AA63" s="6" t="str">
        <f>VLOOKUP(C59,C$1:$L$601,1,FALSE)</f>
        <v>T-Shirts</v>
      </c>
      <c r="AB63" s="6" t="str">
        <f>VLOOKUP(D59,D$1:$L$601,1,FALSE)</f>
        <v>Oversized T-Shirt</v>
      </c>
      <c r="AC63" s="6">
        <f>VLOOKUP(E59,E$1:$L$601,1,FALSE)</f>
        <v>1.5178571428571428</v>
      </c>
      <c r="AD63" s="6">
        <f>VLOOKUP(F59,F$1:$L$601,1,FALSE)</f>
        <v>3982.53</v>
      </c>
      <c r="AE63" s="6">
        <f>VLOOKUP(G59,G$1:$L$601,1,FALSE)</f>
        <v>1.0800000000000001E-2</v>
      </c>
      <c r="AF63" s="6">
        <f>VLOOKUP(H59,H$1:$L$601,1,FALSE)</f>
        <v>0</v>
      </c>
      <c r="AG63" s="6">
        <f>VLOOKUP(I59,I$1:$L$601,1,FALSE)</f>
        <v>45518</v>
      </c>
      <c r="AH63" s="6" t="str">
        <f>VLOOKUP(J59,J$1:$L$601,1,FALSE)</f>
        <v>PUNE</v>
      </c>
      <c r="AI63" s="6" t="str">
        <f>VLOOKUP(K59,K$1:$L$601,1,FALSE)</f>
        <v>B2C</v>
      </c>
      <c r="AJ63" s="6">
        <f>VLOOKUP(L59,L$1:$L$601,1,FALSE)</f>
        <v>1912.49</v>
      </c>
    </row>
    <row r="64" spans="1:36" x14ac:dyDescent="0.25">
      <c r="A64">
        <v>1063</v>
      </c>
      <c r="B64" t="s">
        <v>112</v>
      </c>
      <c r="C64" t="s">
        <v>36</v>
      </c>
      <c r="D64" t="s">
        <v>81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29</v>
      </c>
      <c r="K64" t="s">
        <v>16</v>
      </c>
      <c r="L64" s="2">
        <v>2147.75</v>
      </c>
      <c r="Y64" s="6">
        <f>VLOOKUP(A60,A$1:$L$601,1,FALSE)</f>
        <v>1059</v>
      </c>
      <c r="Z64" s="6" t="str">
        <f>VLOOKUP(B60,B$1:$L$601,1,FALSE)</f>
        <v>John Ramos</v>
      </c>
      <c r="AA64" s="6" t="str">
        <f>VLOOKUP(C60,C$1:$L$601,1,FALSE)</f>
        <v>Jeans</v>
      </c>
      <c r="AB64" s="6" t="str">
        <f>VLOOKUP(D60,D$1:$L$601,1,FALSE)</f>
        <v>Boyfriend Jeans</v>
      </c>
      <c r="AC64" s="6">
        <f>VLOOKUP(E60,E$1:$L$601,1,FALSE)</f>
        <v>0</v>
      </c>
      <c r="AD64" s="6">
        <f>VLOOKUP(F60,F$1:$L$601,1,FALSE)</f>
        <v>2927.57</v>
      </c>
      <c r="AE64" s="6">
        <f>VLOOKUP(G60,G$1:$L$601,1,FALSE)</f>
        <v>0.19</v>
      </c>
      <c r="AF64" s="6">
        <f>VLOOKUP(H60,H$1:$L$601,1,FALSE)</f>
        <v>0</v>
      </c>
      <c r="AG64" s="6">
        <f>VLOOKUP(I60,I$1:$L$601,1,FALSE)</f>
        <v>45626.838268792708</v>
      </c>
      <c r="AH64" s="6" t="str">
        <f>VLOOKUP(J60,J$1:$L$601,1,FALSE)</f>
        <v>DELHI</v>
      </c>
      <c r="AI64" s="6" t="str">
        <f>VLOOKUP(K60,K$1:$L$601,1,FALSE)</f>
        <v>B2C</v>
      </c>
      <c r="AJ64" s="6">
        <f>VLOOKUP(L60,L$1:$L$601,1,FALSE)</f>
        <v>2218.42</v>
      </c>
    </row>
    <row r="65" spans="1:36" x14ac:dyDescent="0.25">
      <c r="A65">
        <v>1064</v>
      </c>
      <c r="B65" t="s">
        <v>113</v>
      </c>
      <c r="C65" t="s">
        <v>21</v>
      </c>
      <c r="D65" t="s">
        <v>87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29</v>
      </c>
      <c r="K65" t="s">
        <v>16</v>
      </c>
      <c r="L65" s="2">
        <v>-901.74</v>
      </c>
      <c r="Y65" s="6">
        <f>VLOOKUP(A61,A$1:$L$601,1,FALSE)</f>
        <v>1060</v>
      </c>
      <c r="Z65" s="6" t="str">
        <f>VLOOKUP(B61,B$1:$L$601,1,FALSE)</f>
        <v>Dylan Roberson</v>
      </c>
      <c r="AA65" s="6" t="str">
        <f>VLOOKUP(C61,C$1:$L$601,1,FALSE)</f>
        <v>Jeans</v>
      </c>
      <c r="AB65" s="6" t="str">
        <f>VLOOKUP(D61,D$1:$L$601,1,FALSE)</f>
        <v>Ripped Denim</v>
      </c>
      <c r="AC65" s="6">
        <f>VLOOKUP(E61,E$1:$L$601,1,FALSE)</f>
        <v>2.1052631578947367</v>
      </c>
      <c r="AD65" s="6">
        <f>VLOOKUP(F61,F$1:$L$601,1,FALSE)</f>
        <v>2813.51</v>
      </c>
      <c r="AE65" s="6">
        <f>VLOOKUP(G61,G$1:$L$601,1,FALSE)</f>
        <v>0.58977272727272723</v>
      </c>
      <c r="AF65" s="6">
        <f>VLOOKUP(H61,H$1:$L$601,1,FALSE)</f>
        <v>0</v>
      </c>
      <c r="AG65" s="6">
        <f>VLOOKUP(I61,I$1:$L$601,1,FALSE)</f>
        <v>45852</v>
      </c>
      <c r="AH65" s="6" t="str">
        <f>VLOOKUP(J61,J$1:$L$601,1,FALSE)</f>
        <v>PUNE</v>
      </c>
      <c r="AI65" s="6" t="str">
        <f>VLOOKUP(K61,K$1:$L$601,1,FALSE)</f>
        <v>B2C</v>
      </c>
      <c r="AJ65" s="6">
        <f>VLOOKUP(L61,L$1:$L$601,1,FALSE)</f>
        <v>94.96</v>
      </c>
    </row>
    <row r="66" spans="1:36" x14ac:dyDescent="0.25">
      <c r="A66">
        <v>1065</v>
      </c>
      <c r="B66" t="s">
        <v>114</v>
      </c>
      <c r="C66" t="s">
        <v>13</v>
      </c>
      <c r="D66" t="s">
        <v>39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29</v>
      </c>
      <c r="K66" t="s">
        <v>16</v>
      </c>
      <c r="L66" s="2">
        <v>2316.9699999999998</v>
      </c>
      <c r="Y66" s="6">
        <f>VLOOKUP(A62,A$1:$L$601,1,FALSE)</f>
        <v>1061</v>
      </c>
      <c r="Z66" s="6" t="str">
        <f>VLOOKUP(B62,B$1:$L$601,1,FALSE)</f>
        <v>Kelsey Reyes</v>
      </c>
      <c r="AA66" s="6" t="str">
        <f>VLOOKUP(C62,C$1:$L$601,1,FALSE)</f>
        <v>Accessories</v>
      </c>
      <c r="AB66" s="6" t="str">
        <f>VLOOKUP(D62,D$1:$L$601,1,FALSE)</f>
        <v>Belts</v>
      </c>
      <c r="AC66" s="6">
        <f>VLOOKUP(E62,E$1:$L$601,1,FALSE)</f>
        <v>2.4893617021276597</v>
      </c>
      <c r="AD66" s="6">
        <f>VLOOKUP(F62,F$1:$L$601,1,FALSE)</f>
        <v>2291.15</v>
      </c>
      <c r="AE66" s="6">
        <f>VLOOKUP(G62,G$1:$L$601,1,FALSE)</f>
        <v>0.33</v>
      </c>
      <c r="AF66" s="6">
        <f>VLOOKUP(H62,H$1:$L$601,1,FALSE)</f>
        <v>0</v>
      </c>
      <c r="AG66" s="6">
        <f>VLOOKUP(I62,I$1:$L$601,1,FALSE)</f>
        <v>45601</v>
      </c>
      <c r="AH66" s="6" t="str">
        <f>VLOOKUP(J62,J$1:$L$601,1,FALSE)</f>
        <v>MUMBAI</v>
      </c>
      <c r="AI66" s="6" t="str">
        <f>VLOOKUP(K62,K$1:$L$601,1,FALSE)</f>
        <v>B2B</v>
      </c>
      <c r="AJ66" s="6">
        <f>VLOOKUP(L62,L$1:$L$601,1,FALSE)</f>
        <v>2536.3000000000002</v>
      </c>
    </row>
    <row r="67" spans="1:36" x14ac:dyDescent="0.25">
      <c r="A67">
        <v>1066</v>
      </c>
      <c r="B67" t="s">
        <v>115</v>
      </c>
      <c r="C67" t="s">
        <v>27</v>
      </c>
      <c r="D67" t="s">
        <v>65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  <c r="Y67" s="6">
        <f>VLOOKUP(A63,A$1:$L$601,1,FALSE)</f>
        <v>1062</v>
      </c>
      <c r="Z67" s="6" t="str">
        <f>VLOOKUP(B63,B$1:$L$601,1,FALSE)</f>
        <v>Larry Gibson</v>
      </c>
      <c r="AA67" s="6" t="str">
        <f>VLOOKUP(C63,C$1:$L$601,1,FALSE)</f>
        <v>Jeans</v>
      </c>
      <c r="AB67" s="6" t="str">
        <f>VLOOKUP(D63,D$1:$L$601,1,FALSE)</f>
        <v>Ripped Denim</v>
      </c>
      <c r="AC67" s="6">
        <f>VLOOKUP(E63,E$1:$L$601,1,FALSE)</f>
        <v>1.5178571428571428</v>
      </c>
      <c r="AD67" s="6">
        <f>VLOOKUP(F63,F$1:$L$601,1,FALSE)</f>
        <v>2676.4254237288142</v>
      </c>
      <c r="AE67" s="6">
        <f>VLOOKUP(G63,G$1:$L$601,1,FALSE)</f>
        <v>0.58977272727272723</v>
      </c>
      <c r="AF67" s="6">
        <f>VLOOKUP(H63,H$1:$L$601,1,FALSE)</f>
        <v>0</v>
      </c>
      <c r="AG67" s="6">
        <f>VLOOKUP(I63,I$1:$L$601,1,FALSE)</f>
        <v>45626.838268792708</v>
      </c>
      <c r="AH67" s="6" t="str">
        <f>VLOOKUP(J63,J$1:$L$601,1,FALSE)</f>
        <v>PUNE</v>
      </c>
      <c r="AI67" s="6" t="str">
        <f>VLOOKUP(K63,K$1:$L$601,1,FALSE)</f>
        <v>B2C</v>
      </c>
      <c r="AJ67" s="6">
        <f>VLOOKUP(L63,L$1:$L$601,1,FALSE)</f>
        <v>328.72</v>
      </c>
    </row>
    <row r="68" spans="1:36" x14ac:dyDescent="0.25">
      <c r="A68">
        <v>1067</v>
      </c>
      <c r="B68" t="s">
        <v>116</v>
      </c>
      <c r="C68" t="s">
        <v>41</v>
      </c>
      <c r="D68" t="s">
        <v>42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29</v>
      </c>
      <c r="K68" t="s">
        <v>24</v>
      </c>
      <c r="L68" s="2">
        <v>305.55</v>
      </c>
      <c r="Y68" s="6">
        <f>VLOOKUP(A64,A$1:$L$601,1,FALSE)</f>
        <v>1063</v>
      </c>
      <c r="Z68" s="6" t="str">
        <f>VLOOKUP(B64,B$1:$L$601,1,FALSE)</f>
        <v>Kristin Ho</v>
      </c>
      <c r="AA68" s="6" t="str">
        <f>VLOOKUP(C64,C$1:$L$601,1,FALSE)</f>
        <v>T-Shirts</v>
      </c>
      <c r="AB68" s="6" t="str">
        <f>VLOOKUP(D64,D$1:$L$601,1,FALSE)</f>
        <v>Graphic Tee</v>
      </c>
      <c r="AC68" s="6">
        <f>VLOOKUP(E64,E$1:$L$601,1,FALSE)</f>
        <v>1</v>
      </c>
      <c r="AD68" s="6">
        <f>VLOOKUP(F64,F$1:$L$601,1,FALSE)</f>
        <v>2742.2927659574466</v>
      </c>
      <c r="AE68" s="6">
        <f>VLOOKUP(G64,G$1:$L$601,1,FALSE)</f>
        <v>0.65787878787878773</v>
      </c>
      <c r="AF68" s="6">
        <f>VLOOKUP(H64,H$1:$L$601,1,FALSE)</f>
        <v>0</v>
      </c>
      <c r="AG68" s="6">
        <f>VLOOKUP(I64,I$1:$L$601,1,FALSE)</f>
        <v>45836</v>
      </c>
      <c r="AH68" s="6" t="str">
        <f>VLOOKUP(J64,J$1:$L$601,1,FALSE)</f>
        <v>BANGALORE</v>
      </c>
      <c r="AI68" s="6" t="str">
        <f>VLOOKUP(K64,K$1:$L$601,1,FALSE)</f>
        <v>B2C</v>
      </c>
      <c r="AJ68" s="6">
        <f>VLOOKUP(L64,L$1:$L$601,1,FALSE)</f>
        <v>2147.75</v>
      </c>
    </row>
    <row r="69" spans="1:36" x14ac:dyDescent="0.25">
      <c r="A69">
        <v>1068</v>
      </c>
      <c r="B69" t="s">
        <v>117</v>
      </c>
      <c r="C69" t="s">
        <v>41</v>
      </c>
      <c r="D69" t="s">
        <v>63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19</v>
      </c>
      <c r="K69" t="s">
        <v>16</v>
      </c>
      <c r="L69" s="2">
        <v>1719.9</v>
      </c>
      <c r="Y69" s="6">
        <f>VLOOKUP(A65,A$1:$L$601,1,FALSE)</f>
        <v>1064</v>
      </c>
      <c r="Z69" s="6" t="str">
        <f>VLOOKUP(B65,B$1:$L$601,1,FALSE)</f>
        <v>Jessica Johnston</v>
      </c>
      <c r="AA69" s="6" t="str">
        <f>VLOOKUP(C65,C$1:$L$601,1,FALSE)</f>
        <v>Jackets</v>
      </c>
      <c r="AB69" s="6" t="str">
        <f>VLOOKUP(D65,D$1:$L$601,1,FALSE)</f>
        <v>Denim Jacket</v>
      </c>
      <c r="AC69" s="6">
        <f>VLOOKUP(E65,E$1:$L$601,1,FALSE)</f>
        <v>1.8076923076923077</v>
      </c>
      <c r="AD69" s="6">
        <f>VLOOKUP(F65,F$1:$L$601,1,FALSE)</f>
        <v>2811.5702272727276</v>
      </c>
      <c r="AE69" s="6">
        <f>VLOOKUP(G65,G$1:$L$601,1,FALSE)</f>
        <v>1.3000000000000001E-2</v>
      </c>
      <c r="AF69" s="6">
        <f>VLOOKUP(H65,H$1:$L$601,1,FALSE)</f>
        <v>0</v>
      </c>
      <c r="AG69" s="6">
        <f>VLOOKUP(I65,I$1:$L$601,1,FALSE)</f>
        <v>45626.838268792708</v>
      </c>
      <c r="AH69" s="6" t="str">
        <f>VLOOKUP(J65,J$1:$L$601,1,FALSE)</f>
        <v>BANGALORE</v>
      </c>
      <c r="AI69" s="6" t="str">
        <f>VLOOKUP(K65,K$1:$L$601,1,FALSE)</f>
        <v>B2C</v>
      </c>
      <c r="AJ69" s="6">
        <f>VLOOKUP(L65,L$1:$L$601,1,FALSE)</f>
        <v>-901.74</v>
      </c>
    </row>
    <row r="70" spans="1:36" x14ac:dyDescent="0.25">
      <c r="A70">
        <v>1069</v>
      </c>
      <c r="B70" t="s">
        <v>118</v>
      </c>
      <c r="C70" t="s">
        <v>31</v>
      </c>
      <c r="D70" t="s">
        <v>119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24</v>
      </c>
      <c r="L70" s="2">
        <v>-992.61</v>
      </c>
      <c r="Y70" s="6">
        <f>VLOOKUP(A66,A$1:$L$601,1,FALSE)</f>
        <v>1065</v>
      </c>
      <c r="Z70" s="6" t="str">
        <f>VLOOKUP(B66,B$1:$L$601,1,FALSE)</f>
        <v>Amanda Parker</v>
      </c>
      <c r="AA70" s="6" t="str">
        <f>VLOOKUP(C66,C$1:$L$601,1,FALSE)</f>
        <v>Jeans</v>
      </c>
      <c r="AB70" s="6" t="str">
        <f>VLOOKUP(D66,D$1:$L$601,1,FALSE)</f>
        <v>Boyfriend Jeans</v>
      </c>
      <c r="AC70" s="6">
        <f>VLOOKUP(E66,E$1:$L$601,1,FALSE)</f>
        <v>5</v>
      </c>
      <c r="AD70" s="6">
        <f>VLOOKUP(F66,F$1:$L$601,1,FALSE)</f>
        <v>2676.4254237288142</v>
      </c>
      <c r="AE70" s="6">
        <f>VLOOKUP(G66,G$1:$L$601,1,FALSE)</f>
        <v>0.58977272727272723</v>
      </c>
      <c r="AF70" s="6">
        <f>VLOOKUP(H66,H$1:$L$601,1,FALSE)</f>
        <v>0</v>
      </c>
      <c r="AG70" s="6">
        <f>VLOOKUP(I66,I$1:$L$601,1,FALSE)</f>
        <v>45440</v>
      </c>
      <c r="AH70" s="6" t="str">
        <f>VLOOKUP(J66,J$1:$L$601,1,FALSE)</f>
        <v>BANGALORE</v>
      </c>
      <c r="AI70" s="6" t="str">
        <f>VLOOKUP(K66,K$1:$L$601,1,FALSE)</f>
        <v>B2C</v>
      </c>
      <c r="AJ70" s="6">
        <f>VLOOKUP(L66,L$1:$L$601,1,FALSE)</f>
        <v>2316.9699999999998</v>
      </c>
    </row>
    <row r="71" spans="1:36" x14ac:dyDescent="0.25">
      <c r="A71">
        <v>1070</v>
      </c>
      <c r="B71" t="s">
        <v>120</v>
      </c>
      <c r="C71" t="s">
        <v>21</v>
      </c>
      <c r="D71" t="s">
        <v>121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33</v>
      </c>
      <c r="K71" t="s">
        <v>24</v>
      </c>
      <c r="L71" s="2">
        <v>1383.48</v>
      </c>
      <c r="Y71" s="6">
        <f>VLOOKUP(A67,A$1:$L$601,1,FALSE)</f>
        <v>1066</v>
      </c>
      <c r="Z71" s="6" t="str">
        <f>VLOOKUP(B67,B$1:$L$601,1,FALSE)</f>
        <v>Joshua Figueroa</v>
      </c>
      <c r="AA71" s="6" t="str">
        <f>VLOOKUP(C67,C$1:$L$601,1,FALSE)</f>
        <v>Shoes</v>
      </c>
      <c r="AB71" s="6" t="str">
        <f>VLOOKUP(D67,D$1:$L$601,1,FALSE)</f>
        <v>Slip-Ons</v>
      </c>
      <c r="AC71" s="6">
        <f>VLOOKUP(E67,E$1:$L$601,1,FALSE)</f>
        <v>1.5178571428571428</v>
      </c>
      <c r="AD71" s="6">
        <f>VLOOKUP(F67,F$1:$L$601,1,FALSE)</f>
        <v>3479.44</v>
      </c>
      <c r="AE71" s="6">
        <f>VLOOKUP(G67,G$1:$L$601,1,FALSE)</f>
        <v>0.59740740740740739</v>
      </c>
      <c r="AF71" s="6">
        <f>VLOOKUP(H67,H$1:$L$601,1,FALSE)</f>
        <v>0</v>
      </c>
      <c r="AG71" s="6">
        <f>VLOOKUP(I67,I$1:$L$601,1,FALSE)</f>
        <v>45672</v>
      </c>
      <c r="AH71" s="6" t="str">
        <f>VLOOKUP(J67,J$1:$L$601,1,FALSE)</f>
        <v>DELHI</v>
      </c>
      <c r="AI71" s="6" t="str">
        <f>VLOOKUP(K67,K$1:$L$601,1,FALSE)</f>
        <v>B2C</v>
      </c>
      <c r="AJ71" s="6">
        <f>VLOOKUP(L67,L$1:$L$601,1,FALSE)</f>
        <v>-252.78</v>
      </c>
    </row>
    <row r="72" spans="1:36" x14ac:dyDescent="0.25">
      <c r="A72">
        <v>1071</v>
      </c>
      <c r="B72" t="s">
        <v>122</v>
      </c>
      <c r="C72" t="s">
        <v>31</v>
      </c>
      <c r="D72" t="s">
        <v>44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24</v>
      </c>
      <c r="L72" s="2">
        <v>2131.4299999999998</v>
      </c>
      <c r="Y72" s="6">
        <f>VLOOKUP(A68,A$1:$L$601,1,FALSE)</f>
        <v>1067</v>
      </c>
      <c r="Z72" s="6" t="str">
        <f>VLOOKUP(B68,B$1:$L$601,1,FALSE)</f>
        <v>Julie Howard</v>
      </c>
      <c r="AA72" s="6" t="str">
        <f>VLOOKUP(C68,C$1:$L$601,1,FALSE)</f>
        <v>Dresses</v>
      </c>
      <c r="AB72" s="6" t="str">
        <f>VLOOKUP(D68,D$1:$L$601,1,FALSE)</f>
        <v>Casual Midi</v>
      </c>
      <c r="AC72" s="6">
        <f>VLOOKUP(E68,E$1:$L$601,1,FALSE)</f>
        <v>2.1864406779661016</v>
      </c>
      <c r="AD72" s="6">
        <f>VLOOKUP(F68,F$1:$L$601,1,FALSE)</f>
        <v>3945.25</v>
      </c>
      <c r="AE72" s="6">
        <f>VLOOKUP(G68,G$1:$L$601,1,FALSE)</f>
        <v>0.55000000000000004</v>
      </c>
      <c r="AF72" s="6">
        <f>VLOOKUP(H68,H$1:$L$601,1,FALSE)</f>
        <v>0</v>
      </c>
      <c r="AG72" s="6">
        <f>VLOOKUP(I68,I$1:$L$601,1,FALSE)</f>
        <v>45838</v>
      </c>
      <c r="AH72" s="6" t="str">
        <f>VLOOKUP(J68,J$1:$L$601,1,FALSE)</f>
        <v>BANGALORE</v>
      </c>
      <c r="AI72" s="6" t="str">
        <f>VLOOKUP(K68,K$1:$L$601,1,FALSE)</f>
        <v>B2B</v>
      </c>
      <c r="AJ72" s="6">
        <f>VLOOKUP(L68,L$1:$L$601,1,FALSE)</f>
        <v>305.55</v>
      </c>
    </row>
    <row r="73" spans="1:36" x14ac:dyDescent="0.25">
      <c r="A73">
        <v>1072</v>
      </c>
      <c r="B73" t="s">
        <v>123</v>
      </c>
      <c r="C73" t="s">
        <v>41</v>
      </c>
      <c r="D73" t="s">
        <v>59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29</v>
      </c>
      <c r="K73" t="s">
        <v>16</v>
      </c>
      <c r="L73" s="2">
        <v>2878.09</v>
      </c>
      <c r="Y73" s="6">
        <f>VLOOKUP(A69,A$1:$L$601,1,FALSE)</f>
        <v>1068</v>
      </c>
      <c r="Z73" s="6" t="str">
        <f>VLOOKUP(B69,B$1:$L$601,1,FALSE)</f>
        <v>Brandon Lin</v>
      </c>
      <c r="AA73" s="6" t="str">
        <f>VLOOKUP(C69,C$1:$L$601,1,FALSE)</f>
        <v>Dresses</v>
      </c>
      <c r="AB73" s="6" t="str">
        <f>VLOOKUP(D69,D$1:$L$601,1,FALSE)</f>
        <v>Wrap Dress</v>
      </c>
      <c r="AC73" s="6">
        <f>VLOOKUP(E69,E$1:$L$601,1,FALSE)</f>
        <v>4</v>
      </c>
      <c r="AD73" s="6">
        <f>VLOOKUP(F69,F$1:$L$601,1,FALSE)</f>
        <v>2765.26</v>
      </c>
      <c r="AE73" s="6">
        <f>VLOOKUP(G69,G$1:$L$601,1,FALSE)</f>
        <v>0.55000000000000004</v>
      </c>
      <c r="AF73" s="6">
        <f>VLOOKUP(H69,H$1:$L$601,1,FALSE)</f>
        <v>0</v>
      </c>
      <c r="AG73" s="6">
        <f>VLOOKUP(I69,I$1:$L$601,1,FALSE)</f>
        <v>45626.838268792708</v>
      </c>
      <c r="AH73" s="6" t="str">
        <f>VLOOKUP(J69,J$1:$L$601,1,FALSE)</f>
        <v>AHMEDABAD</v>
      </c>
      <c r="AI73" s="6" t="str">
        <f>VLOOKUP(K69,K$1:$L$601,1,FALSE)</f>
        <v>B2C</v>
      </c>
      <c r="AJ73" s="6">
        <f>VLOOKUP(L69,L$1:$L$601,1,FALSE)</f>
        <v>1719.9</v>
      </c>
    </row>
    <row r="74" spans="1:36" x14ac:dyDescent="0.25">
      <c r="A74">
        <v>1073</v>
      </c>
      <c r="B74" t="s">
        <v>124</v>
      </c>
      <c r="C74" t="s">
        <v>13</v>
      </c>
      <c r="D74" t="s">
        <v>51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48</v>
      </c>
      <c r="K74" t="s">
        <v>16</v>
      </c>
      <c r="L74" s="2">
        <v>368.69</v>
      </c>
      <c r="Y74" s="6">
        <f>VLOOKUP(A70,A$1:$L$601,1,FALSE)</f>
        <v>1069</v>
      </c>
      <c r="Z74" s="6" t="str">
        <f>VLOOKUP(B70,B$1:$L$601,1,FALSE)</f>
        <v>Anna Allen</v>
      </c>
      <c r="AA74" s="6" t="str">
        <f>VLOOKUP(C70,C$1:$L$601,1,FALSE)</f>
        <v>Accessories</v>
      </c>
      <c r="AB74" s="6" t="str">
        <f>VLOOKUP(D70,D$1:$L$601,1,FALSE)</f>
        <v>Watches</v>
      </c>
      <c r="AC74" s="6">
        <f>VLOOKUP(E70,E$1:$L$601,1,FALSE)</f>
        <v>2</v>
      </c>
      <c r="AD74" s="6">
        <f>VLOOKUP(F70,F$1:$L$601,1,FALSE)</f>
        <v>2102.02</v>
      </c>
      <c r="AE74" s="6">
        <f>VLOOKUP(G70,G$1:$L$601,1,FALSE)</f>
        <v>1.1299999999999999E-2</v>
      </c>
      <c r="AF74" s="6">
        <f>VLOOKUP(H70,H$1:$L$601,1,FALSE)</f>
        <v>-546.53</v>
      </c>
      <c r="AG74" s="6">
        <f>VLOOKUP(I70,I$1:$L$601,1,FALSE)</f>
        <v>45362</v>
      </c>
      <c r="AH74" s="6" t="str">
        <f>VLOOKUP(J70,J$1:$L$601,1,FALSE)</f>
        <v>DELHI</v>
      </c>
      <c r="AI74" s="6" t="str">
        <f>VLOOKUP(K70,K$1:$L$601,1,FALSE)</f>
        <v>B2B</v>
      </c>
      <c r="AJ74" s="6">
        <f>VLOOKUP(L70,L$1:$L$601,1,FALSE)</f>
        <v>-992.61</v>
      </c>
    </row>
    <row r="75" spans="1:36" x14ac:dyDescent="0.25">
      <c r="A75">
        <v>1074</v>
      </c>
      <c r="B75" t="s">
        <v>125</v>
      </c>
      <c r="C75" t="s">
        <v>41</v>
      </c>
      <c r="D75" t="s">
        <v>42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33</v>
      </c>
      <c r="K75" t="s">
        <v>16</v>
      </c>
      <c r="L75" s="2">
        <v>192.91</v>
      </c>
      <c r="Y75" s="6">
        <f>VLOOKUP(A71,A$1:$L$601,1,FALSE)</f>
        <v>1070</v>
      </c>
      <c r="Z75" s="6" t="str">
        <f>VLOOKUP(B71,B$1:$L$601,1,FALSE)</f>
        <v>Kimberly Ho</v>
      </c>
      <c r="AA75" s="6" t="str">
        <f>VLOOKUP(C71,C$1:$L$601,1,FALSE)</f>
        <v>Jackets</v>
      </c>
      <c r="AB75" s="6" t="str">
        <f>VLOOKUP(D71,D$1:$L$601,1,FALSE)</f>
        <v>Leather Jacket</v>
      </c>
      <c r="AC75" s="6">
        <f>VLOOKUP(E71,E$1:$L$601,1,FALSE)</f>
        <v>5</v>
      </c>
      <c r="AD75" s="6">
        <f>VLOOKUP(F71,F$1:$L$601,1,FALSE)</f>
        <v>2811.5702272727276</v>
      </c>
      <c r="AE75" s="6">
        <f>VLOOKUP(G71,G$1:$L$601,1,FALSE)</f>
        <v>0.69969696969696993</v>
      </c>
      <c r="AF75" s="6">
        <f>VLOOKUP(H71,H$1:$L$601,1,FALSE)</f>
        <v>0</v>
      </c>
      <c r="AG75" s="6">
        <f>VLOOKUP(I71,I$1:$L$601,1,FALSE)</f>
        <v>45812</v>
      </c>
      <c r="AH75" s="6" t="str">
        <f>VLOOKUP(J71,J$1:$L$601,1,FALSE)</f>
        <v>HYDERBAD</v>
      </c>
      <c r="AI75" s="6" t="str">
        <f>VLOOKUP(K71,K$1:$L$601,1,FALSE)</f>
        <v>B2B</v>
      </c>
      <c r="AJ75" s="6">
        <f>VLOOKUP(L71,L$1:$L$601,1,FALSE)</f>
        <v>1383.48</v>
      </c>
    </row>
    <row r="76" spans="1:36" x14ac:dyDescent="0.25">
      <c r="A76">
        <v>1075</v>
      </c>
      <c r="B76" t="s">
        <v>126</v>
      </c>
      <c r="C76" t="s">
        <v>36</v>
      </c>
      <c r="D76" t="s">
        <v>37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48</v>
      </c>
      <c r="K76" t="s">
        <v>24</v>
      </c>
      <c r="L76" s="2">
        <v>2418.8000000000002</v>
      </c>
      <c r="Y76" s="6">
        <f>VLOOKUP(A72,A$1:$L$601,1,FALSE)</f>
        <v>1071</v>
      </c>
      <c r="Z76" s="6" t="str">
        <f>VLOOKUP(B72,B$1:$L$601,1,FALSE)</f>
        <v>Nancy White</v>
      </c>
      <c r="AA76" s="6" t="str">
        <f>VLOOKUP(C72,C$1:$L$601,1,FALSE)</f>
        <v>Accessories</v>
      </c>
      <c r="AB76" s="6" t="str">
        <f>VLOOKUP(D72,D$1:$L$601,1,FALSE)</f>
        <v>Sunglasses</v>
      </c>
      <c r="AC76" s="6">
        <f>VLOOKUP(E72,E$1:$L$601,1,FALSE)</f>
        <v>2.4893617021276597</v>
      </c>
      <c r="AD76" s="6">
        <f>VLOOKUP(F72,F$1:$L$601,1,FALSE)</f>
        <v>1000.76</v>
      </c>
      <c r="AE76" s="6">
        <f>VLOOKUP(G72,G$1:$L$601,1,FALSE)</f>
        <v>0.70297297297297334</v>
      </c>
      <c r="AF76" s="6">
        <f>VLOOKUP(H72,H$1:$L$601,1,FALSE)</f>
        <v>0</v>
      </c>
      <c r="AG76" s="6">
        <f>VLOOKUP(I72,I$1:$L$601,1,FALSE)</f>
        <v>45626.838268792708</v>
      </c>
      <c r="AH76" s="6" t="str">
        <f>VLOOKUP(J72,J$1:$L$601,1,FALSE)</f>
        <v>DELHI</v>
      </c>
      <c r="AI76" s="6" t="str">
        <f>VLOOKUP(K72,K$1:$L$601,1,FALSE)</f>
        <v>B2B</v>
      </c>
      <c r="AJ76" s="6">
        <f>VLOOKUP(L72,L$1:$L$601,1,FALSE)</f>
        <v>2131.4299999999998</v>
      </c>
    </row>
    <row r="77" spans="1:36" x14ac:dyDescent="0.25">
      <c r="A77">
        <v>1076</v>
      </c>
      <c r="B77" t="s">
        <v>127</v>
      </c>
      <c r="C77" t="s">
        <v>36</v>
      </c>
      <c r="D77" t="s">
        <v>46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29</v>
      </c>
      <c r="K77" t="s">
        <v>16</v>
      </c>
      <c r="L77" s="2">
        <v>1408.61</v>
      </c>
      <c r="Y77" s="6">
        <f>VLOOKUP(A73,A$1:$L$601,1,FALSE)</f>
        <v>1072</v>
      </c>
      <c r="Z77" s="6" t="str">
        <f>VLOOKUP(B73,B$1:$L$601,1,FALSE)</f>
        <v>Eric Salazar</v>
      </c>
      <c r="AA77" s="6" t="str">
        <f>VLOOKUP(C73,C$1:$L$601,1,FALSE)</f>
        <v>Dresses</v>
      </c>
      <c r="AB77" s="6" t="str">
        <f>VLOOKUP(D73,D$1:$L$601,1,FALSE)</f>
        <v>Maxi Dress</v>
      </c>
      <c r="AC77" s="6">
        <f>VLOOKUP(E73,E$1:$L$601,1,FALSE)</f>
        <v>2.1864406779661016</v>
      </c>
      <c r="AD77" s="6">
        <f>VLOOKUP(F73,F$1:$L$601,1,FALSE)</f>
        <v>2949.9901960784309</v>
      </c>
      <c r="AE77" s="6">
        <f>VLOOKUP(G73,G$1:$L$601,1,FALSE)</f>
        <v>0.55000000000000004</v>
      </c>
      <c r="AF77" s="6">
        <f>VLOOKUP(H73,H$1:$L$601,1,FALSE)</f>
        <v>0</v>
      </c>
      <c r="AG77" s="6">
        <f>VLOOKUP(I73,I$1:$L$601,1,FALSE)</f>
        <v>45626.838268792708</v>
      </c>
      <c r="AH77" s="6" t="str">
        <f>VLOOKUP(J73,J$1:$L$601,1,FALSE)</f>
        <v>BANGALORE</v>
      </c>
      <c r="AI77" s="6" t="str">
        <f>VLOOKUP(K73,K$1:$L$601,1,FALSE)</f>
        <v>B2C</v>
      </c>
      <c r="AJ77" s="6">
        <f>VLOOKUP(L73,L$1:$L$601,1,FALSE)</f>
        <v>2878.09</v>
      </c>
    </row>
    <row r="78" spans="1:36" x14ac:dyDescent="0.25">
      <c r="A78">
        <v>1077</v>
      </c>
      <c r="B78" t="s">
        <v>128</v>
      </c>
      <c r="C78" t="s">
        <v>36</v>
      </c>
      <c r="D78" t="s">
        <v>46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33</v>
      </c>
      <c r="K78" t="s">
        <v>24</v>
      </c>
      <c r="L78" s="2">
        <v>902.52</v>
      </c>
      <c r="Y78" s="6">
        <f>VLOOKUP(A74,A$1:$L$601,1,FALSE)</f>
        <v>1073</v>
      </c>
      <c r="Z78" s="6" t="str">
        <f>VLOOKUP(B74,B$1:$L$601,1,FALSE)</f>
        <v>Michael Williamson</v>
      </c>
      <c r="AA78" s="6" t="str">
        <f>VLOOKUP(C74,C$1:$L$601,1,FALSE)</f>
        <v>Jeans</v>
      </c>
      <c r="AB78" s="6" t="str">
        <f>VLOOKUP(D74,D$1:$L$601,1,FALSE)</f>
        <v>Straight Cut</v>
      </c>
      <c r="AC78" s="6">
        <f>VLOOKUP(E74,E$1:$L$601,1,FALSE)</f>
        <v>1.5178571428571428</v>
      </c>
      <c r="AD78" s="6">
        <f>VLOOKUP(F74,F$1:$L$601,1,FALSE)</f>
        <v>2676.4254237288142</v>
      </c>
      <c r="AE78" s="6">
        <f>VLOOKUP(G74,G$1:$L$601,1,FALSE)</f>
        <v>0.18</v>
      </c>
      <c r="AF78" s="6">
        <f>VLOOKUP(H74,H$1:$L$601,1,FALSE)</f>
        <v>0</v>
      </c>
      <c r="AG78" s="6">
        <f>VLOOKUP(I74,I$1:$L$601,1,FALSE)</f>
        <v>45626.838268792708</v>
      </c>
      <c r="AH78" s="6" t="str">
        <f>VLOOKUP(J74,J$1:$L$601,1,FALSE)</f>
        <v>PUNE</v>
      </c>
      <c r="AI78" s="6" t="str">
        <f>VLOOKUP(K74,K$1:$L$601,1,FALSE)</f>
        <v>B2C</v>
      </c>
      <c r="AJ78" s="6">
        <f>VLOOKUP(L74,L$1:$L$601,1,FALSE)</f>
        <v>368.69</v>
      </c>
    </row>
    <row r="79" spans="1:36" x14ac:dyDescent="0.25">
      <c r="A79">
        <v>1078</v>
      </c>
      <c r="B79" t="s">
        <v>129</v>
      </c>
      <c r="C79" t="s">
        <v>21</v>
      </c>
      <c r="D79" t="s">
        <v>121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48</v>
      </c>
      <c r="K79" t="s">
        <v>16</v>
      </c>
      <c r="L79" s="2">
        <v>-819.94</v>
      </c>
      <c r="Y79" s="6">
        <f>VLOOKUP(A75,A$1:$L$601,1,FALSE)</f>
        <v>1074</v>
      </c>
      <c r="Z79" s="6" t="str">
        <f>VLOOKUP(B75,B$1:$L$601,1,FALSE)</f>
        <v>Lynn Morales</v>
      </c>
      <c r="AA79" s="6" t="str">
        <f>VLOOKUP(C75,C$1:$L$601,1,FALSE)</f>
        <v>Dresses</v>
      </c>
      <c r="AB79" s="6" t="str">
        <f>VLOOKUP(D75,D$1:$L$601,1,FALSE)</f>
        <v>Casual Midi</v>
      </c>
      <c r="AC79" s="6">
        <f>VLOOKUP(E75,E$1:$L$601,1,FALSE)</f>
        <v>1.5178571428571428</v>
      </c>
      <c r="AD79" s="6">
        <f>VLOOKUP(F75,F$1:$L$601,1,FALSE)</f>
        <v>2949.9901960784309</v>
      </c>
      <c r="AE79" s="6">
        <f>VLOOKUP(G75,G$1:$L$601,1,FALSE)</f>
        <v>1.06E-2</v>
      </c>
      <c r="AF79" s="6">
        <f>VLOOKUP(H75,H$1:$L$601,1,FALSE)</f>
        <v>0</v>
      </c>
      <c r="AG79" s="6">
        <f>VLOOKUP(I75,I$1:$L$601,1,FALSE)</f>
        <v>45682</v>
      </c>
      <c r="AH79" s="6" t="str">
        <f>VLOOKUP(J75,J$1:$L$601,1,FALSE)</f>
        <v>HYDERBAD</v>
      </c>
      <c r="AI79" s="6" t="str">
        <f>VLOOKUP(K75,K$1:$L$601,1,FALSE)</f>
        <v>B2C</v>
      </c>
      <c r="AJ79" s="6">
        <f>VLOOKUP(L75,L$1:$L$601,1,FALSE)</f>
        <v>192.91</v>
      </c>
    </row>
    <row r="80" spans="1:36" x14ac:dyDescent="0.25">
      <c r="A80">
        <v>1079</v>
      </c>
      <c r="B80" t="s">
        <v>130</v>
      </c>
      <c r="C80" t="s">
        <v>36</v>
      </c>
      <c r="D80" t="s">
        <v>71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33</v>
      </c>
      <c r="K80" t="s">
        <v>24</v>
      </c>
      <c r="L80" s="2">
        <v>-22.55</v>
      </c>
      <c r="Y80" s="6">
        <f>VLOOKUP(A76,A$1:$L$601,1,FALSE)</f>
        <v>1075</v>
      </c>
      <c r="Z80" s="6" t="str">
        <f>VLOOKUP(B76,B$1:$L$601,1,FALSE)</f>
        <v>Jennifer Horn</v>
      </c>
      <c r="AA80" s="6" t="str">
        <f>VLOOKUP(C76,C$1:$L$601,1,FALSE)</f>
        <v>T-Shirts</v>
      </c>
      <c r="AB80" s="6" t="str">
        <f>VLOOKUP(D76,D$1:$L$601,1,FALSE)</f>
        <v>Crop Top</v>
      </c>
      <c r="AC80" s="6">
        <f>VLOOKUP(E76,E$1:$L$601,1,FALSE)</f>
        <v>1.5178571428571428</v>
      </c>
      <c r="AD80" s="6">
        <f>VLOOKUP(F76,F$1:$L$601,1,FALSE)</f>
        <v>795.85</v>
      </c>
      <c r="AE80" s="6">
        <f>VLOOKUP(G76,G$1:$L$601,1,FALSE)</f>
        <v>0.65787878787878773</v>
      </c>
      <c r="AF80" s="6">
        <f>VLOOKUP(H76,H$1:$L$601,1,FALSE)</f>
        <v>0</v>
      </c>
      <c r="AG80" s="6">
        <f>VLOOKUP(I76,I$1:$L$601,1,FALSE)</f>
        <v>45626.838268792708</v>
      </c>
      <c r="AH80" s="6" t="str">
        <f>VLOOKUP(J76,J$1:$L$601,1,FALSE)</f>
        <v>PUNE</v>
      </c>
      <c r="AI80" s="6" t="str">
        <f>VLOOKUP(K76,K$1:$L$601,1,FALSE)</f>
        <v>B2B</v>
      </c>
      <c r="AJ80" s="6">
        <f>VLOOKUP(L76,L$1:$L$601,1,FALSE)</f>
        <v>2418.8000000000002</v>
      </c>
    </row>
    <row r="81" spans="1:36" x14ac:dyDescent="0.25">
      <c r="A81">
        <v>1080</v>
      </c>
      <c r="B81" t="s">
        <v>131</v>
      </c>
      <c r="C81" t="s">
        <v>36</v>
      </c>
      <c r="D81" t="s">
        <v>37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23</v>
      </c>
      <c r="K81" t="s">
        <v>16</v>
      </c>
      <c r="L81" s="2">
        <v>-302.97000000000003</v>
      </c>
      <c r="Y81" s="6">
        <f>VLOOKUP(A77,A$1:$L$601,1,FALSE)</f>
        <v>1076</v>
      </c>
      <c r="Z81" s="6" t="str">
        <f>VLOOKUP(B77,B$1:$L$601,1,FALSE)</f>
        <v>Lori Preston</v>
      </c>
      <c r="AA81" s="6" t="str">
        <f>VLOOKUP(C77,C$1:$L$601,1,FALSE)</f>
        <v>T-Shirts</v>
      </c>
      <c r="AB81" s="6" t="str">
        <f>VLOOKUP(D77,D$1:$L$601,1,FALSE)</f>
        <v>Oversized T-Shirt</v>
      </c>
      <c r="AC81" s="6">
        <f>VLOOKUP(E77,E$1:$L$601,1,FALSE)</f>
        <v>2</v>
      </c>
      <c r="AD81" s="6">
        <f>VLOOKUP(F77,F$1:$L$601,1,FALSE)</f>
        <v>2742.2927659574466</v>
      </c>
      <c r="AE81" s="6">
        <f>VLOOKUP(G77,G$1:$L$601,1,FALSE)</f>
        <v>0.65787878787878773</v>
      </c>
      <c r="AF81" s="6">
        <f>VLOOKUP(H77,H$1:$L$601,1,FALSE)</f>
        <v>0</v>
      </c>
      <c r="AG81" s="6">
        <f>VLOOKUP(I77,I$1:$L$601,1,FALSE)</f>
        <v>45839</v>
      </c>
      <c r="AH81" s="6" t="str">
        <f>VLOOKUP(J77,J$1:$L$601,1,FALSE)</f>
        <v>BANGALORE</v>
      </c>
      <c r="AI81" s="6" t="str">
        <f>VLOOKUP(K77,K$1:$L$601,1,FALSE)</f>
        <v>B2C</v>
      </c>
      <c r="AJ81" s="6">
        <f>VLOOKUP(L77,L$1:$L$601,1,FALSE)</f>
        <v>1408.61</v>
      </c>
    </row>
    <row r="82" spans="1:36" x14ac:dyDescent="0.25">
      <c r="A82">
        <v>1081</v>
      </c>
      <c r="B82" t="s">
        <v>132</v>
      </c>
      <c r="C82" t="s">
        <v>13</v>
      </c>
      <c r="D82" t="s">
        <v>39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33</v>
      </c>
      <c r="K82" t="s">
        <v>24</v>
      </c>
      <c r="L82" s="2">
        <v>-361.78</v>
      </c>
      <c r="Y82" s="6">
        <f>VLOOKUP(A78,A$1:$L$601,1,FALSE)</f>
        <v>1077</v>
      </c>
      <c r="Z82" s="6" t="str">
        <f>VLOOKUP(B78,B$1:$L$601,1,FALSE)</f>
        <v>Gabriel Parrish</v>
      </c>
      <c r="AA82" s="6" t="str">
        <f>VLOOKUP(C78,C$1:$L$601,1,FALSE)</f>
        <v>T-Shirts</v>
      </c>
      <c r="AB82" s="6" t="str">
        <f>VLOOKUP(D78,D$1:$L$601,1,FALSE)</f>
        <v>Oversized T-Shirt</v>
      </c>
      <c r="AC82" s="6">
        <f>VLOOKUP(E78,E$1:$L$601,1,FALSE)</f>
        <v>2</v>
      </c>
      <c r="AD82" s="6">
        <f>VLOOKUP(F78,F$1:$L$601,1,FALSE)</f>
        <v>2742.2927659574466</v>
      </c>
      <c r="AE82" s="6">
        <f>VLOOKUP(G78,G$1:$L$601,1,FALSE)</f>
        <v>0.65787878787878773</v>
      </c>
      <c r="AF82" s="6">
        <f>VLOOKUP(H78,H$1:$L$601,1,FALSE)</f>
        <v>0</v>
      </c>
      <c r="AG82" s="6">
        <f>VLOOKUP(I78,I$1:$L$601,1,FALSE)</f>
        <v>45555</v>
      </c>
      <c r="AH82" s="6" t="str">
        <f>VLOOKUP(J78,J$1:$L$601,1,FALSE)</f>
        <v>HYDERBAD</v>
      </c>
      <c r="AI82" s="6" t="str">
        <f>VLOOKUP(K78,K$1:$L$601,1,FALSE)</f>
        <v>B2B</v>
      </c>
      <c r="AJ82" s="6">
        <f>VLOOKUP(L78,L$1:$L$601,1,FALSE)</f>
        <v>902.52</v>
      </c>
    </row>
    <row r="83" spans="1:36" x14ac:dyDescent="0.25">
      <c r="A83">
        <v>1082</v>
      </c>
      <c r="B83" t="s">
        <v>133</v>
      </c>
      <c r="C83" t="s">
        <v>41</v>
      </c>
      <c r="D83" t="s">
        <v>90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29</v>
      </c>
      <c r="K83" t="s">
        <v>24</v>
      </c>
      <c r="L83" s="2">
        <v>712.91</v>
      </c>
      <c r="Y83" s="6">
        <f>VLOOKUP(A79,A$1:$L$601,1,FALSE)</f>
        <v>1078</v>
      </c>
      <c r="Z83" s="6" t="str">
        <f>VLOOKUP(B79,B$1:$L$601,1,FALSE)</f>
        <v>Debbie Raymond</v>
      </c>
      <c r="AA83" s="6" t="str">
        <f>VLOOKUP(C79,C$1:$L$601,1,FALSE)</f>
        <v>Jackets</v>
      </c>
      <c r="AB83" s="6" t="str">
        <f>VLOOKUP(D79,D$1:$L$601,1,FALSE)</f>
        <v>Leather Jacket</v>
      </c>
      <c r="AC83" s="6">
        <f>VLOOKUP(E79,E$1:$L$601,1,FALSE)</f>
        <v>1.8076923076923077</v>
      </c>
      <c r="AD83" s="6">
        <f>VLOOKUP(F79,F$1:$L$601,1,FALSE)</f>
        <v>4059.56</v>
      </c>
      <c r="AE83" s="6">
        <f>VLOOKUP(G79,G$1:$L$601,1,FALSE)</f>
        <v>0.69969696969696993</v>
      </c>
      <c r="AF83" s="6">
        <f>VLOOKUP(H79,H$1:$L$601,1,FALSE)</f>
        <v>0</v>
      </c>
      <c r="AG83" s="6">
        <f>VLOOKUP(I79,I$1:$L$601,1,FALSE)</f>
        <v>45701</v>
      </c>
      <c r="AH83" s="6" t="str">
        <f>VLOOKUP(J79,J$1:$L$601,1,FALSE)</f>
        <v>PUNE</v>
      </c>
      <c r="AI83" s="6" t="str">
        <f>VLOOKUP(K79,K$1:$L$601,1,FALSE)</f>
        <v>B2C</v>
      </c>
      <c r="AJ83" s="6">
        <f>VLOOKUP(L79,L$1:$L$601,1,FALSE)</f>
        <v>-819.94</v>
      </c>
    </row>
    <row r="84" spans="1:36" x14ac:dyDescent="0.25">
      <c r="A84">
        <v>1083</v>
      </c>
      <c r="B84" t="s">
        <v>134</v>
      </c>
      <c r="C84" t="s">
        <v>21</v>
      </c>
      <c r="D84" t="s">
        <v>79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48</v>
      </c>
      <c r="K84" t="s">
        <v>24</v>
      </c>
      <c r="L84" s="2">
        <v>-612.62</v>
      </c>
      <c r="Y84" s="6">
        <f>VLOOKUP(A80,A$1:$L$601,1,FALSE)</f>
        <v>1079</v>
      </c>
      <c r="Z84" s="6" t="str">
        <f>VLOOKUP(B80,B$1:$L$601,1,FALSE)</f>
        <v>Cheryl Clark</v>
      </c>
      <c r="AA84" s="6" t="str">
        <f>VLOOKUP(C80,C$1:$L$601,1,FALSE)</f>
        <v>T-Shirts</v>
      </c>
      <c r="AB84" s="6" t="str">
        <f>VLOOKUP(D80,D$1:$L$601,1,FALSE)</f>
        <v>Classic Tee</v>
      </c>
      <c r="AC84" s="6">
        <f>VLOOKUP(E80,E$1:$L$601,1,FALSE)</f>
        <v>1.5178571428571428</v>
      </c>
      <c r="AD84" s="6">
        <f>VLOOKUP(F80,F$1:$L$601,1,FALSE)</f>
        <v>2742.2927659574466</v>
      </c>
      <c r="AE84" s="6">
        <f>VLOOKUP(G80,G$1:$L$601,1,FALSE)</f>
        <v>0.65787878787878773</v>
      </c>
      <c r="AF84" s="6">
        <f>VLOOKUP(H80,H$1:$L$601,1,FALSE)</f>
        <v>0</v>
      </c>
      <c r="AG84" s="6">
        <f>VLOOKUP(I80,I$1:$L$601,1,FALSE)</f>
        <v>45626.838268792708</v>
      </c>
      <c r="AH84" s="6" t="str">
        <f>VLOOKUP(J80,J$1:$L$601,1,FALSE)</f>
        <v>HYDERBAD</v>
      </c>
      <c r="AI84" s="6" t="str">
        <f>VLOOKUP(K80,K$1:$L$601,1,FALSE)</f>
        <v>B2B</v>
      </c>
      <c r="AJ84" s="6">
        <f>VLOOKUP(L80,L$1:$L$601,1,FALSE)</f>
        <v>-22.55</v>
      </c>
    </row>
    <row r="85" spans="1:36" x14ac:dyDescent="0.25">
      <c r="A85">
        <v>1084</v>
      </c>
      <c r="B85" t="s">
        <v>135</v>
      </c>
      <c r="C85" t="s">
        <v>27</v>
      </c>
      <c r="D85" t="s">
        <v>28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48</v>
      </c>
      <c r="K85" t="s">
        <v>24</v>
      </c>
      <c r="L85" s="2">
        <v>2458.0700000000002</v>
      </c>
      <c r="Y85" s="6">
        <f>VLOOKUP(A81,A$1:$L$601,1,FALSE)</f>
        <v>1080</v>
      </c>
      <c r="Z85" s="6" t="str">
        <f>VLOOKUP(B81,B$1:$L$601,1,FALSE)</f>
        <v>Laura Thompson</v>
      </c>
      <c r="AA85" s="6" t="str">
        <f>VLOOKUP(C81,C$1:$L$601,1,FALSE)</f>
        <v>T-Shirts</v>
      </c>
      <c r="AB85" s="6" t="str">
        <f>VLOOKUP(D81,D$1:$L$601,1,FALSE)</f>
        <v>Crop Top</v>
      </c>
      <c r="AC85" s="6">
        <f>VLOOKUP(E81,E$1:$L$601,1,FALSE)</f>
        <v>1.5178571428571428</v>
      </c>
      <c r="AD85" s="6">
        <f>VLOOKUP(F81,F$1:$L$601,1,FALSE)</f>
        <v>3872.22</v>
      </c>
      <c r="AE85" s="6">
        <f>VLOOKUP(G81,G$1:$L$601,1,FALSE)</f>
        <v>1.15E-2</v>
      </c>
      <c r="AF85" s="6">
        <f>VLOOKUP(H81,H$1:$L$601,1,FALSE)</f>
        <v>0</v>
      </c>
      <c r="AG85" s="6">
        <f>VLOOKUP(I81,I$1:$L$601,1,FALSE)</f>
        <v>45626.838268792708</v>
      </c>
      <c r="AH85" s="6" t="str">
        <f>VLOOKUP(J81,J$1:$L$601,1,FALSE)</f>
        <v>MUMBAI</v>
      </c>
      <c r="AI85" s="6" t="str">
        <f>VLOOKUP(K81,K$1:$L$601,1,FALSE)</f>
        <v>B2C</v>
      </c>
      <c r="AJ85" s="6">
        <f>VLOOKUP(L81,L$1:$L$601,1,FALSE)</f>
        <v>-302.97000000000003</v>
      </c>
    </row>
    <row r="86" spans="1:36" x14ac:dyDescent="0.25">
      <c r="A86">
        <v>1085</v>
      </c>
      <c r="B86" t="s">
        <v>136</v>
      </c>
      <c r="C86" t="s">
        <v>27</v>
      </c>
      <c r="D86" t="s">
        <v>65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48</v>
      </c>
      <c r="K86" t="s">
        <v>24</v>
      </c>
      <c r="L86" s="2">
        <v>264.73</v>
      </c>
      <c r="Y86" s="6">
        <f>VLOOKUP(A82,A$1:$L$601,1,FALSE)</f>
        <v>1081</v>
      </c>
      <c r="Z86" s="6" t="str">
        <f>VLOOKUP(B82,B$1:$L$601,1,FALSE)</f>
        <v>Mary Lin</v>
      </c>
      <c r="AA86" s="6" t="str">
        <f>VLOOKUP(C82,C$1:$L$601,1,FALSE)</f>
        <v>Jeans</v>
      </c>
      <c r="AB86" s="6" t="str">
        <f>VLOOKUP(D82,D$1:$L$601,1,FALSE)</f>
        <v>Boyfriend Jeans</v>
      </c>
      <c r="AC86" s="6">
        <f>VLOOKUP(E82,E$1:$L$601,1,FALSE)</f>
        <v>6</v>
      </c>
      <c r="AD86" s="6">
        <f>VLOOKUP(F82,F$1:$L$601,1,FALSE)</f>
        <v>4798.0600000000004</v>
      </c>
      <c r="AE86" s="6">
        <f>VLOOKUP(G82,G$1:$L$601,1,FALSE)</f>
        <v>0.81</v>
      </c>
      <c r="AF86" s="6">
        <f>VLOOKUP(H82,H$1:$L$601,1,FALSE)</f>
        <v>5469.79</v>
      </c>
      <c r="AG86" s="6">
        <f>VLOOKUP(I82,I$1:$L$601,1,FALSE)</f>
        <v>45626.838268792708</v>
      </c>
      <c r="AH86" s="6" t="str">
        <f>VLOOKUP(J82,J$1:$L$601,1,FALSE)</f>
        <v>HYDERBAD</v>
      </c>
      <c r="AI86" s="6" t="str">
        <f>VLOOKUP(K82,K$1:$L$601,1,FALSE)</f>
        <v>B2B</v>
      </c>
      <c r="AJ86" s="6">
        <f>VLOOKUP(L82,L$1:$L$601,1,FALSE)</f>
        <v>-361.78</v>
      </c>
    </row>
    <row r="87" spans="1:36" x14ac:dyDescent="0.25">
      <c r="A87">
        <v>1086</v>
      </c>
      <c r="B87" t="s">
        <v>137</v>
      </c>
      <c r="C87" t="s">
        <v>31</v>
      </c>
      <c r="D87" t="s">
        <v>44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29</v>
      </c>
      <c r="K87" t="s">
        <v>16</v>
      </c>
      <c r="L87" s="2">
        <v>-865.22</v>
      </c>
      <c r="Y87" s="6">
        <f>VLOOKUP(A83,A$1:$L$601,1,FALSE)</f>
        <v>1082</v>
      </c>
      <c r="Z87" s="6" t="str">
        <f>VLOOKUP(B83,B$1:$L$601,1,FALSE)</f>
        <v>Nicholas White</v>
      </c>
      <c r="AA87" s="6" t="str">
        <f>VLOOKUP(C83,C$1:$L$601,1,FALSE)</f>
        <v>Dresses</v>
      </c>
      <c r="AB87" s="6" t="str">
        <f>VLOOKUP(D83,D$1:$L$601,1,FALSE)</f>
        <v>Bodycon</v>
      </c>
      <c r="AC87" s="6">
        <f>VLOOKUP(E83,E$1:$L$601,1,FALSE)</f>
        <v>0</v>
      </c>
      <c r="AD87" s="6">
        <f>VLOOKUP(F83,F$1:$L$601,1,FALSE)</f>
        <v>2949.9901960784309</v>
      </c>
      <c r="AE87" s="6">
        <f>VLOOKUP(G83,G$1:$L$601,1,FALSE)</f>
        <v>0.55000000000000004</v>
      </c>
      <c r="AF87" s="6">
        <f>VLOOKUP(H83,H$1:$L$601,1,FALSE)</f>
        <v>0</v>
      </c>
      <c r="AG87" s="6">
        <f>VLOOKUP(I83,I$1:$L$601,1,FALSE)</f>
        <v>45626.838268792708</v>
      </c>
      <c r="AH87" s="6" t="str">
        <f>VLOOKUP(J83,J$1:$L$601,1,FALSE)</f>
        <v>BANGALORE</v>
      </c>
      <c r="AI87" s="6" t="str">
        <f>VLOOKUP(K83,K$1:$L$601,1,FALSE)</f>
        <v>B2B</v>
      </c>
      <c r="AJ87" s="6">
        <f>VLOOKUP(L83,L$1:$L$601,1,FALSE)</f>
        <v>712.91</v>
      </c>
    </row>
    <row r="88" spans="1:36" x14ac:dyDescent="0.25">
      <c r="A88">
        <v>1087</v>
      </c>
      <c r="B88" t="s">
        <v>138</v>
      </c>
      <c r="C88" t="s">
        <v>13</v>
      </c>
      <c r="D88" t="s">
        <v>101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23</v>
      </c>
      <c r="K88" t="s">
        <v>16</v>
      </c>
      <c r="L88" s="2">
        <v>2790.95</v>
      </c>
      <c r="Y88" s="6">
        <f>VLOOKUP(A84,A$1:$L$601,1,FALSE)</f>
        <v>1083</v>
      </c>
      <c r="Z88" s="6" t="str">
        <f>VLOOKUP(B84,B$1:$L$601,1,FALSE)</f>
        <v>Timothy Farmer</v>
      </c>
      <c r="AA88" s="6" t="str">
        <f>VLOOKUP(C84,C$1:$L$601,1,FALSE)</f>
        <v>Jackets</v>
      </c>
      <c r="AB88" s="6" t="str">
        <f>VLOOKUP(D84,D$1:$L$601,1,FALSE)</f>
        <v>Bomber Jacket</v>
      </c>
      <c r="AC88" s="6">
        <f>VLOOKUP(E84,E$1:$L$601,1,FALSE)</f>
        <v>1</v>
      </c>
      <c r="AD88" s="6">
        <f>VLOOKUP(F84,F$1:$L$601,1,FALSE)</f>
        <v>2811.5702272727276</v>
      </c>
      <c r="AE88" s="6">
        <f>VLOOKUP(G84,G$1:$L$601,1,FALSE)</f>
        <v>1.2800000000000001E-2</v>
      </c>
      <c r="AF88" s="6">
        <f>VLOOKUP(H84,H$1:$L$601,1,FALSE)</f>
        <v>0</v>
      </c>
      <c r="AG88" s="6">
        <f>VLOOKUP(I84,I$1:$L$601,1,FALSE)</f>
        <v>45626.838268792708</v>
      </c>
      <c r="AH88" s="6" t="str">
        <f>VLOOKUP(J84,J$1:$L$601,1,FALSE)</f>
        <v>PUNE</v>
      </c>
      <c r="AI88" s="6" t="str">
        <f>VLOOKUP(K84,K$1:$L$601,1,FALSE)</f>
        <v>B2B</v>
      </c>
      <c r="AJ88" s="6">
        <f>VLOOKUP(L84,L$1:$L$601,1,FALSE)</f>
        <v>-612.62</v>
      </c>
    </row>
    <row r="89" spans="1:36" x14ac:dyDescent="0.25">
      <c r="A89">
        <v>1088</v>
      </c>
      <c r="B89" t="s">
        <v>139</v>
      </c>
      <c r="C89" t="s">
        <v>31</v>
      </c>
      <c r="D89" t="s">
        <v>140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48</v>
      </c>
      <c r="K89" t="s">
        <v>16</v>
      </c>
      <c r="L89" s="2">
        <v>1374.27</v>
      </c>
      <c r="Y89" s="6">
        <f>VLOOKUP(A85,A$1:$L$601,1,FALSE)</f>
        <v>1084</v>
      </c>
      <c r="Z89" s="6" t="str">
        <f>VLOOKUP(B85,B$1:$L$601,1,FALSE)</f>
        <v>Kevin Martinez</v>
      </c>
      <c r="AA89" s="6" t="str">
        <f>VLOOKUP(C85,C$1:$L$601,1,FALSE)</f>
        <v>Shoes</v>
      </c>
      <c r="AB89" s="6" t="str">
        <f>VLOOKUP(D85,D$1:$L$601,1,FALSE)</f>
        <v>Loafers</v>
      </c>
      <c r="AC89" s="6">
        <f>VLOOKUP(E85,E$1:$L$601,1,FALSE)</f>
        <v>1.6216216216216217</v>
      </c>
      <c r="AD89" s="6">
        <f>VLOOKUP(F85,F$1:$L$601,1,FALSE)</f>
        <v>2557.4251351351354</v>
      </c>
      <c r="AE89" s="6">
        <f>VLOOKUP(G85,G$1:$L$601,1,FALSE)</f>
        <v>0.53</v>
      </c>
      <c r="AF89" s="6">
        <f>VLOOKUP(H85,H$1:$L$601,1,FALSE)</f>
        <v>0</v>
      </c>
      <c r="AG89" s="6">
        <f>VLOOKUP(I85,I$1:$L$601,1,FALSE)</f>
        <v>45650</v>
      </c>
      <c r="AH89" s="6" t="str">
        <f>VLOOKUP(J85,J$1:$L$601,1,FALSE)</f>
        <v>PUNE</v>
      </c>
      <c r="AI89" s="6" t="str">
        <f>VLOOKUP(K85,K$1:$L$601,1,FALSE)</f>
        <v>B2B</v>
      </c>
      <c r="AJ89" s="6">
        <f>VLOOKUP(L85,L$1:$L$601,1,FALSE)</f>
        <v>2458.0700000000002</v>
      </c>
    </row>
    <row r="90" spans="1:36" x14ac:dyDescent="0.25">
      <c r="A90">
        <v>1089</v>
      </c>
      <c r="B90" t="s">
        <v>141</v>
      </c>
      <c r="C90" t="s">
        <v>27</v>
      </c>
      <c r="D90" t="s">
        <v>65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23</v>
      </c>
      <c r="K90" t="s">
        <v>16</v>
      </c>
      <c r="L90" s="2">
        <v>-355.26</v>
      </c>
      <c r="Y90" s="6">
        <f>VLOOKUP(A86,A$1:$L$601,1,FALSE)</f>
        <v>1085</v>
      </c>
      <c r="Z90" s="6" t="str">
        <f>VLOOKUP(B86,B$1:$L$601,1,FALSE)</f>
        <v>James Martinez</v>
      </c>
      <c r="AA90" s="6" t="str">
        <f>VLOOKUP(C86,C$1:$L$601,1,FALSE)</f>
        <v>Shoes</v>
      </c>
      <c r="AB90" s="6" t="str">
        <f>VLOOKUP(D86,D$1:$L$601,1,FALSE)</f>
        <v>Slip-Ons</v>
      </c>
      <c r="AC90" s="6">
        <f>VLOOKUP(E86,E$1:$L$601,1,FALSE)</f>
        <v>1.6216216216216217</v>
      </c>
      <c r="AD90" s="6">
        <f>VLOOKUP(F86,F$1:$L$601,1,FALSE)</f>
        <v>2557.4251351351354</v>
      </c>
      <c r="AE90" s="6">
        <f>VLOOKUP(G86,G$1:$L$601,1,FALSE)</f>
        <v>0.02</v>
      </c>
      <c r="AF90" s="6">
        <f>VLOOKUP(H86,H$1:$L$601,1,FALSE)</f>
        <v>0</v>
      </c>
      <c r="AG90" s="6">
        <f>VLOOKUP(I86,I$1:$L$601,1,FALSE)</f>
        <v>45217</v>
      </c>
      <c r="AH90" s="6" t="str">
        <f>VLOOKUP(J86,J$1:$L$601,1,FALSE)</f>
        <v>PUNE</v>
      </c>
      <c r="AI90" s="6" t="str">
        <f>VLOOKUP(K86,K$1:$L$601,1,FALSE)</f>
        <v>B2B</v>
      </c>
      <c r="AJ90" s="6">
        <f>VLOOKUP(L86,L$1:$L$601,1,FALSE)</f>
        <v>264.73</v>
      </c>
    </row>
    <row r="91" spans="1:36" x14ac:dyDescent="0.25">
      <c r="A91">
        <v>1090</v>
      </c>
      <c r="B91" t="s">
        <v>142</v>
      </c>
      <c r="C91" t="s">
        <v>27</v>
      </c>
      <c r="D91" t="s">
        <v>65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19</v>
      </c>
      <c r="K91" t="s">
        <v>16</v>
      </c>
      <c r="L91" s="2">
        <v>-888.86</v>
      </c>
      <c r="Y91" s="6">
        <f>VLOOKUP(A87,A$1:$L$601,1,FALSE)</f>
        <v>1086</v>
      </c>
      <c r="Z91" s="6" t="str">
        <f>VLOOKUP(B87,B$1:$L$601,1,FALSE)</f>
        <v>Douglas Nelson</v>
      </c>
      <c r="AA91" s="6" t="str">
        <f>VLOOKUP(C87,C$1:$L$601,1,FALSE)</f>
        <v>Accessories</v>
      </c>
      <c r="AB91" s="6" t="str">
        <f>VLOOKUP(D87,D$1:$L$601,1,FALSE)</f>
        <v>Sunglasses</v>
      </c>
      <c r="AC91" s="6">
        <f>VLOOKUP(E87,E$1:$L$601,1,FALSE)</f>
        <v>2.4893617021276597</v>
      </c>
      <c r="AD91" s="6">
        <f>VLOOKUP(F87,F$1:$L$601,1,FALSE)</f>
        <v>948.33</v>
      </c>
      <c r="AE91" s="6">
        <f>VLOOKUP(G87,G$1:$L$601,1,FALSE)</f>
        <v>0.46</v>
      </c>
      <c r="AF91" s="6">
        <f>VLOOKUP(H87,H$1:$L$601,1,FALSE)</f>
        <v>0</v>
      </c>
      <c r="AG91" s="6">
        <f>VLOOKUP(I87,I$1:$L$601,1,FALSE)</f>
        <v>45732</v>
      </c>
      <c r="AH91" s="6" t="str">
        <f>VLOOKUP(J87,J$1:$L$601,1,FALSE)</f>
        <v>BANGALORE</v>
      </c>
      <c r="AI91" s="6" t="str">
        <f>VLOOKUP(K87,K$1:$L$601,1,FALSE)</f>
        <v>B2C</v>
      </c>
      <c r="AJ91" s="6">
        <f>VLOOKUP(L87,L$1:$L$601,1,FALSE)</f>
        <v>-865.22</v>
      </c>
    </row>
    <row r="92" spans="1:36" x14ac:dyDescent="0.25">
      <c r="A92">
        <v>1091</v>
      </c>
      <c r="B92" t="s">
        <v>143</v>
      </c>
      <c r="C92" t="s">
        <v>31</v>
      </c>
      <c r="D92" t="s">
        <v>32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  <c r="Y92" s="6">
        <f>VLOOKUP(A88,A$1:$L$601,1,FALSE)</f>
        <v>1087</v>
      </c>
      <c r="Z92" s="6" t="str">
        <f>VLOOKUP(B88,B$1:$L$601,1,FALSE)</f>
        <v>Thomas Ramirez</v>
      </c>
      <c r="AA92" s="6" t="str">
        <f>VLOOKUP(C88,C$1:$L$601,1,FALSE)</f>
        <v>Jeans</v>
      </c>
      <c r="AB92" s="6" t="str">
        <f>VLOOKUP(D88,D$1:$L$601,1,FALSE)</f>
        <v>Ripped Denim</v>
      </c>
      <c r="AC92" s="6">
        <f>VLOOKUP(E88,E$1:$L$601,1,FALSE)</f>
        <v>2.1052631578947367</v>
      </c>
      <c r="AD92" s="6">
        <f>VLOOKUP(F88,F$1:$L$601,1,FALSE)</f>
        <v>1976.75</v>
      </c>
      <c r="AE92" s="6">
        <f>VLOOKUP(G88,G$1:$L$601,1,FALSE)</f>
        <v>0.81</v>
      </c>
      <c r="AF92" s="6">
        <f>VLOOKUP(H88,H$1:$L$601,1,FALSE)</f>
        <v>0</v>
      </c>
      <c r="AG92" s="6">
        <f>VLOOKUP(I88,I$1:$L$601,1,FALSE)</f>
        <v>45846</v>
      </c>
      <c r="AH92" s="6" t="str">
        <f>VLOOKUP(J88,J$1:$L$601,1,FALSE)</f>
        <v>MUMBAI</v>
      </c>
      <c r="AI92" s="6" t="str">
        <f>VLOOKUP(K88,K$1:$L$601,1,FALSE)</f>
        <v>B2C</v>
      </c>
      <c r="AJ92" s="6">
        <f>VLOOKUP(L88,L$1:$L$601,1,FALSE)</f>
        <v>2790.95</v>
      </c>
    </row>
    <row r="93" spans="1:36" x14ac:dyDescent="0.25">
      <c r="A93">
        <v>1092</v>
      </c>
      <c r="B93" t="s">
        <v>144</v>
      </c>
      <c r="C93" t="s">
        <v>41</v>
      </c>
      <c r="D93" t="s">
        <v>90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48</v>
      </c>
      <c r="K93" t="s">
        <v>16</v>
      </c>
      <c r="L93" s="2">
        <v>1122.6600000000001</v>
      </c>
      <c r="Y93" s="6">
        <f>VLOOKUP(A89,A$1:$L$601,1,FALSE)</f>
        <v>1088</v>
      </c>
      <c r="Z93" s="6" t="str">
        <f>VLOOKUP(B89,B$1:$L$601,1,FALSE)</f>
        <v>David Faulkner</v>
      </c>
      <c r="AA93" s="6" t="str">
        <f>VLOOKUP(C89,C$1:$L$601,1,FALSE)</f>
        <v>Accessories</v>
      </c>
      <c r="AB93" s="6" t="str">
        <f>VLOOKUP(D89,D$1:$L$601,1,FALSE)</f>
        <v>Caps</v>
      </c>
      <c r="AC93" s="6">
        <f>VLOOKUP(E89,E$1:$L$601,1,FALSE)</f>
        <v>2.4893617021276597</v>
      </c>
      <c r="AD93" s="6">
        <f>VLOOKUP(F89,F$1:$L$601,1,FALSE)</f>
        <v>3891.14</v>
      </c>
      <c r="AE93" s="6">
        <f>VLOOKUP(G89,G$1:$L$601,1,FALSE)</f>
        <v>0.70297297297297334</v>
      </c>
      <c r="AF93" s="6">
        <f>VLOOKUP(H89,H$1:$L$601,1,FALSE)</f>
        <v>0</v>
      </c>
      <c r="AG93" s="6">
        <f>VLOOKUP(I89,I$1:$L$601,1,FALSE)</f>
        <v>45874</v>
      </c>
      <c r="AH93" s="6" t="str">
        <f>VLOOKUP(J89,J$1:$L$601,1,FALSE)</f>
        <v>PUNE</v>
      </c>
      <c r="AI93" s="6" t="str">
        <f>VLOOKUP(K89,K$1:$L$601,1,FALSE)</f>
        <v>B2C</v>
      </c>
      <c r="AJ93" s="6">
        <f>VLOOKUP(L89,L$1:$L$601,1,FALSE)</f>
        <v>1374.27</v>
      </c>
    </row>
    <row r="94" spans="1:36" x14ac:dyDescent="0.25">
      <c r="A94">
        <v>1093</v>
      </c>
      <c r="B94" t="s">
        <v>145</v>
      </c>
      <c r="C94" t="s">
        <v>41</v>
      </c>
      <c r="D94" t="s">
        <v>90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29</v>
      </c>
      <c r="K94" t="s">
        <v>24</v>
      </c>
      <c r="L94" s="2">
        <v>2966.76</v>
      </c>
      <c r="Y94" s="6">
        <f>VLOOKUP(A90,A$1:$L$601,1,FALSE)</f>
        <v>1089</v>
      </c>
      <c r="Z94" s="6" t="str">
        <f>VLOOKUP(B90,B$1:$L$601,1,FALSE)</f>
        <v>Dennis Ross</v>
      </c>
      <c r="AA94" s="6" t="str">
        <f>VLOOKUP(C90,C$1:$L$601,1,FALSE)</f>
        <v>Shoes</v>
      </c>
      <c r="AB94" s="6" t="str">
        <f>VLOOKUP(D90,D$1:$L$601,1,FALSE)</f>
        <v>Slip-Ons</v>
      </c>
      <c r="AC94" s="6">
        <f>VLOOKUP(E90,E$1:$L$601,1,FALSE)</f>
        <v>1.6216216216216217</v>
      </c>
      <c r="AD94" s="6">
        <f>VLOOKUP(F90,F$1:$L$601,1,FALSE)</f>
        <v>1412.17</v>
      </c>
      <c r="AE94" s="6">
        <f>VLOOKUP(G90,G$1:$L$601,1,FALSE)</f>
        <v>0.88</v>
      </c>
      <c r="AF94" s="6">
        <f>VLOOKUP(H90,H$1:$L$601,1,FALSE)</f>
        <v>0</v>
      </c>
      <c r="AG94" s="6">
        <f>VLOOKUP(I90,I$1:$L$601,1,FALSE)</f>
        <v>45710</v>
      </c>
      <c r="AH94" s="6" t="str">
        <f>VLOOKUP(J90,J$1:$L$601,1,FALSE)</f>
        <v>MUMBAI</v>
      </c>
      <c r="AI94" s="6" t="str">
        <f>VLOOKUP(K90,K$1:$L$601,1,FALSE)</f>
        <v>B2C</v>
      </c>
      <c r="AJ94" s="6">
        <f>VLOOKUP(L90,L$1:$L$601,1,FALSE)</f>
        <v>-355.26</v>
      </c>
    </row>
    <row r="95" spans="1:36" x14ac:dyDescent="0.25">
      <c r="A95">
        <v>1094</v>
      </c>
      <c r="B95" t="s">
        <v>146</v>
      </c>
      <c r="C95" t="s">
        <v>21</v>
      </c>
      <c r="D95" t="s">
        <v>87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23</v>
      </c>
      <c r="K95" t="s">
        <v>16</v>
      </c>
      <c r="L95" s="2">
        <v>1901.7</v>
      </c>
      <c r="Y95" s="6">
        <f>VLOOKUP(A91,A$1:$L$601,1,FALSE)</f>
        <v>1090</v>
      </c>
      <c r="Z95" s="6" t="str">
        <f>VLOOKUP(B91,B$1:$L$601,1,FALSE)</f>
        <v>Heather Arnold</v>
      </c>
      <c r="AA95" s="6" t="str">
        <f>VLOOKUP(C91,C$1:$L$601,1,FALSE)</f>
        <v>Shoes</v>
      </c>
      <c r="AB95" s="6" t="str">
        <f>VLOOKUP(D91,D$1:$L$601,1,FALSE)</f>
        <v>Slip-Ons</v>
      </c>
      <c r="AC95" s="6">
        <f>VLOOKUP(E91,E$1:$L$601,1,FALSE)</f>
        <v>5</v>
      </c>
      <c r="AD95" s="6">
        <f>VLOOKUP(F91,F$1:$L$601,1,FALSE)</f>
        <v>2477.8200000000002</v>
      </c>
      <c r="AE95" s="6">
        <f>VLOOKUP(G91,G$1:$L$601,1,FALSE)</f>
        <v>0.59740740740740739</v>
      </c>
      <c r="AF95" s="6">
        <f>VLOOKUP(H91,H$1:$L$601,1,FALSE)</f>
        <v>0</v>
      </c>
      <c r="AG95" s="6">
        <f>VLOOKUP(I91,I$1:$L$601,1,FALSE)</f>
        <v>45546</v>
      </c>
      <c r="AH95" s="6" t="str">
        <f>VLOOKUP(J91,J$1:$L$601,1,FALSE)</f>
        <v>AHMEDABAD</v>
      </c>
      <c r="AI95" s="6" t="str">
        <f>VLOOKUP(K91,K$1:$L$601,1,FALSE)</f>
        <v>B2C</v>
      </c>
      <c r="AJ95" s="6">
        <f>VLOOKUP(L91,L$1:$L$601,1,FALSE)</f>
        <v>-888.86</v>
      </c>
    </row>
    <row r="96" spans="1:36" x14ac:dyDescent="0.25">
      <c r="A96">
        <v>1097</v>
      </c>
      <c r="B96" t="s">
        <v>147</v>
      </c>
      <c r="C96" t="s">
        <v>31</v>
      </c>
      <c r="D96" t="s">
        <v>44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23</v>
      </c>
      <c r="K96" t="s">
        <v>16</v>
      </c>
      <c r="L96" s="2">
        <v>1141.1500000000001</v>
      </c>
      <c r="Y96" s="6">
        <f>VLOOKUP(A92,A$1:$L$601,1,FALSE)</f>
        <v>1091</v>
      </c>
      <c r="Z96" s="6" t="str">
        <f>VLOOKUP(B92,B$1:$L$601,1,FALSE)</f>
        <v>David Bridges</v>
      </c>
      <c r="AA96" s="6" t="str">
        <f>VLOOKUP(C92,C$1:$L$601,1,FALSE)</f>
        <v>Accessories</v>
      </c>
      <c r="AB96" s="6" t="str">
        <f>VLOOKUP(D92,D$1:$L$601,1,FALSE)</f>
        <v>Belts</v>
      </c>
      <c r="AC96" s="6">
        <f>VLOOKUP(E92,E$1:$L$601,1,FALSE)</f>
        <v>1</v>
      </c>
      <c r="AD96" s="6">
        <f>VLOOKUP(F92,F$1:$L$601,1,FALSE)</f>
        <v>2706.1301960784322</v>
      </c>
      <c r="AE96" s="6">
        <f>VLOOKUP(G92,G$1:$L$601,1,FALSE)</f>
        <v>0.70297297297297334</v>
      </c>
      <c r="AF96" s="6">
        <f>VLOOKUP(H92,H$1:$L$601,1,FALSE)</f>
        <v>0</v>
      </c>
      <c r="AG96" s="6">
        <f>VLOOKUP(I92,I$1:$L$601,1,FALSE)</f>
        <v>45135</v>
      </c>
      <c r="AH96" s="6" t="str">
        <f>VLOOKUP(J92,J$1:$L$601,1,FALSE)</f>
        <v>DELHI</v>
      </c>
      <c r="AI96" s="6" t="str">
        <f>VLOOKUP(K92,K$1:$L$601,1,FALSE)</f>
        <v>B2C</v>
      </c>
      <c r="AJ96" s="6">
        <f>VLOOKUP(L92,L$1:$L$601,1,FALSE)</f>
        <v>156.43</v>
      </c>
    </row>
    <row r="97" spans="1:36" x14ac:dyDescent="0.25">
      <c r="A97">
        <v>1098</v>
      </c>
      <c r="B97" t="s">
        <v>148</v>
      </c>
      <c r="C97" t="s">
        <v>31</v>
      </c>
      <c r="D97" t="s">
        <v>140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19</v>
      </c>
      <c r="K97" t="s">
        <v>16</v>
      </c>
      <c r="L97" s="2">
        <v>129.37</v>
      </c>
      <c r="Y97" s="6">
        <f>VLOOKUP(A93,A$1:$L$601,1,FALSE)</f>
        <v>1092</v>
      </c>
      <c r="Z97" s="6" t="str">
        <f>VLOOKUP(B93,B$1:$L$601,1,FALSE)</f>
        <v>Jennifer Keller</v>
      </c>
      <c r="AA97" s="6" t="str">
        <f>VLOOKUP(C93,C$1:$L$601,1,FALSE)</f>
        <v>Dresses</v>
      </c>
      <c r="AB97" s="6" t="str">
        <f>VLOOKUP(D93,D$1:$L$601,1,FALSE)</f>
        <v>Bodycon</v>
      </c>
      <c r="AC97" s="6">
        <f>VLOOKUP(E93,E$1:$L$601,1,FALSE)</f>
        <v>2.1864406779661016</v>
      </c>
      <c r="AD97" s="6">
        <f>VLOOKUP(F93,F$1:$L$601,1,FALSE)</f>
        <v>2949.9901960784309</v>
      </c>
      <c r="AE97" s="6">
        <f>VLOOKUP(G93,G$1:$L$601,1,FALSE)</f>
        <v>0.55000000000000004</v>
      </c>
      <c r="AF97" s="6">
        <f>VLOOKUP(H93,H$1:$L$601,1,FALSE)</f>
        <v>0</v>
      </c>
      <c r="AG97" s="6">
        <f>VLOOKUP(I93,I$1:$L$601,1,FALSE)</f>
        <v>45626.838268792708</v>
      </c>
      <c r="AH97" s="6" t="str">
        <f>VLOOKUP(J93,J$1:$L$601,1,FALSE)</f>
        <v>PUNE</v>
      </c>
      <c r="AI97" s="6" t="str">
        <f>VLOOKUP(K93,K$1:$L$601,1,FALSE)</f>
        <v>B2C</v>
      </c>
      <c r="AJ97" s="6">
        <f>VLOOKUP(L93,L$1:$L$601,1,FALSE)</f>
        <v>1122.6600000000001</v>
      </c>
    </row>
    <row r="98" spans="1:36" x14ac:dyDescent="0.25">
      <c r="A98">
        <v>1099</v>
      </c>
      <c r="B98" t="s">
        <v>149</v>
      </c>
      <c r="C98" t="s">
        <v>27</v>
      </c>
      <c r="D98" t="s">
        <v>28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48</v>
      </c>
      <c r="K98" t="s">
        <v>24</v>
      </c>
      <c r="L98" s="2">
        <v>300.02</v>
      </c>
      <c r="Y98" s="6">
        <f>VLOOKUP(A94,A$1:$L$601,1,FALSE)</f>
        <v>1093</v>
      </c>
      <c r="Z98" s="6" t="str">
        <f>VLOOKUP(B94,B$1:$L$601,1,FALSE)</f>
        <v>Amanda Myers</v>
      </c>
      <c r="AA98" s="6" t="str">
        <f>VLOOKUP(C94,C$1:$L$601,1,FALSE)</f>
        <v>Dresses</v>
      </c>
      <c r="AB98" s="6" t="str">
        <f>VLOOKUP(D94,D$1:$L$601,1,FALSE)</f>
        <v>Bodycon</v>
      </c>
      <c r="AC98" s="6">
        <f>VLOOKUP(E94,E$1:$L$601,1,FALSE)</f>
        <v>1.5178571428571428</v>
      </c>
      <c r="AD98" s="6">
        <f>VLOOKUP(F94,F$1:$L$601,1,FALSE)</f>
        <v>2949.9901960784309</v>
      </c>
      <c r="AE98" s="6">
        <f>VLOOKUP(G94,G$1:$L$601,1,FALSE)</f>
        <v>0.55000000000000004</v>
      </c>
      <c r="AF98" s="6">
        <f>VLOOKUP(H94,H$1:$L$601,1,FALSE)</f>
        <v>0</v>
      </c>
      <c r="AG98" s="6">
        <f>VLOOKUP(I94,I$1:$L$601,1,FALSE)</f>
        <v>45629</v>
      </c>
      <c r="AH98" s="6" t="str">
        <f>VLOOKUP(J94,J$1:$L$601,1,FALSE)</f>
        <v>BANGALORE</v>
      </c>
      <c r="AI98" s="6" t="str">
        <f>VLOOKUP(K94,K$1:$L$601,1,FALSE)</f>
        <v>B2B</v>
      </c>
      <c r="AJ98" s="6">
        <f>VLOOKUP(L94,L$1:$L$601,1,FALSE)</f>
        <v>2966.76</v>
      </c>
    </row>
    <row r="99" spans="1:36" x14ac:dyDescent="0.25">
      <c r="A99">
        <v>1100</v>
      </c>
      <c r="B99" t="s">
        <v>150</v>
      </c>
      <c r="C99" t="s">
        <v>27</v>
      </c>
      <c r="D99" t="s">
        <v>85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33</v>
      </c>
      <c r="K99" t="s">
        <v>16</v>
      </c>
      <c r="L99" s="2">
        <v>2493.5</v>
      </c>
      <c r="Y99" s="6">
        <f>VLOOKUP(A95,A$1:$L$601,1,FALSE)</f>
        <v>1094</v>
      </c>
      <c r="Z99" s="6" t="str">
        <f>VLOOKUP(B95,B$1:$L$601,1,FALSE)</f>
        <v>Betty Middleton</v>
      </c>
      <c r="AA99" s="6" t="str">
        <f>VLOOKUP(C95,C$1:$L$601,1,FALSE)</f>
        <v>Jackets</v>
      </c>
      <c r="AB99" s="6" t="str">
        <f>VLOOKUP(D95,D$1:$L$601,1,FALSE)</f>
        <v>Denim Jacket</v>
      </c>
      <c r="AC99" s="6">
        <f>VLOOKUP(E95,E$1:$L$601,1,FALSE)</f>
        <v>1.5178571428571428</v>
      </c>
      <c r="AD99" s="6">
        <f>VLOOKUP(F95,F$1:$L$601,1,FALSE)</f>
        <v>4741.41</v>
      </c>
      <c r="AE99" s="6">
        <f>VLOOKUP(G95,G$1:$L$601,1,FALSE)</f>
        <v>0.69969696969696993</v>
      </c>
      <c r="AF99" s="6">
        <f>VLOOKUP(H95,H$1:$L$601,1,FALSE)</f>
        <v>0</v>
      </c>
      <c r="AG99" s="6">
        <f>VLOOKUP(I95,I$1:$L$601,1,FALSE)</f>
        <v>45626.838268792708</v>
      </c>
      <c r="AH99" s="6" t="str">
        <f>VLOOKUP(J95,J$1:$L$601,1,FALSE)</f>
        <v>MUMBAI</v>
      </c>
      <c r="AI99" s="6" t="str">
        <f>VLOOKUP(K95,K$1:$L$601,1,FALSE)</f>
        <v>B2C</v>
      </c>
      <c r="AJ99" s="6">
        <f>VLOOKUP(L95,L$1:$L$601,1,FALSE)</f>
        <v>1901.7</v>
      </c>
    </row>
    <row r="100" spans="1:36" x14ac:dyDescent="0.25">
      <c r="A100">
        <v>1101</v>
      </c>
      <c r="B100" t="s">
        <v>151</v>
      </c>
      <c r="C100" t="s">
        <v>13</v>
      </c>
      <c r="D100" t="s">
        <v>39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48</v>
      </c>
      <c r="K100" t="s">
        <v>16</v>
      </c>
      <c r="L100" s="2">
        <v>2962.73</v>
      </c>
      <c r="Y100" s="6">
        <f>VLOOKUP(A96,A$1:$L$601,1,FALSE)</f>
        <v>1097</v>
      </c>
      <c r="Z100" s="6" t="str">
        <f>VLOOKUP(B96,B$1:$L$601,1,FALSE)</f>
        <v>Amber Smith</v>
      </c>
      <c r="AA100" s="6" t="str">
        <f>VLOOKUP(C96,C$1:$L$601,1,FALSE)</f>
        <v>Accessories</v>
      </c>
      <c r="AB100" s="6" t="str">
        <f>VLOOKUP(D96,D$1:$L$601,1,FALSE)</f>
        <v>Sunglasses</v>
      </c>
      <c r="AC100" s="6">
        <f>VLOOKUP(E96,E$1:$L$601,1,FALSE)</f>
        <v>0</v>
      </c>
      <c r="AD100" s="6">
        <f>VLOOKUP(F96,F$1:$L$601,1,FALSE)</f>
        <v>2706.1301960784322</v>
      </c>
      <c r="AE100" s="6">
        <f>VLOOKUP(G96,G$1:$L$601,1,FALSE)</f>
        <v>0.70297297297297334</v>
      </c>
      <c r="AF100" s="6">
        <f>VLOOKUP(H96,H$1:$L$601,1,FALSE)</f>
        <v>0</v>
      </c>
      <c r="AG100" s="6">
        <f>VLOOKUP(I96,I$1:$L$601,1,FALSE)</f>
        <v>45675</v>
      </c>
      <c r="AH100" s="6" t="str">
        <f>VLOOKUP(J96,J$1:$L$601,1,FALSE)</f>
        <v>MUMBAI</v>
      </c>
      <c r="AI100" s="6" t="str">
        <f>VLOOKUP(K96,K$1:$L$601,1,FALSE)</f>
        <v>B2C</v>
      </c>
      <c r="AJ100" s="6">
        <f>VLOOKUP(L96,L$1:$L$601,1,FALSE)</f>
        <v>1141.1500000000001</v>
      </c>
    </row>
    <row r="101" spans="1:36" x14ac:dyDescent="0.25">
      <c r="A101">
        <v>1102</v>
      </c>
      <c r="B101" t="s">
        <v>152</v>
      </c>
      <c r="C101" t="s">
        <v>13</v>
      </c>
      <c r="D101" t="s">
        <v>39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33</v>
      </c>
      <c r="K101" t="s">
        <v>16</v>
      </c>
      <c r="L101" s="2">
        <v>2776.7</v>
      </c>
      <c r="Y101" s="6">
        <f>VLOOKUP(A97,A$1:$L$601,1,FALSE)</f>
        <v>1098</v>
      </c>
      <c r="Z101" s="6" t="str">
        <f>VLOOKUP(B97,B$1:$L$601,1,FALSE)</f>
        <v>Diana Jones</v>
      </c>
      <c r="AA101" s="6" t="str">
        <f>VLOOKUP(C97,C$1:$L$601,1,FALSE)</f>
        <v>Accessories</v>
      </c>
      <c r="AB101" s="6" t="str">
        <f>VLOOKUP(D97,D$1:$L$601,1,FALSE)</f>
        <v>Caps</v>
      </c>
      <c r="AC101" s="6">
        <f>VLOOKUP(E97,E$1:$L$601,1,FALSE)</f>
        <v>0</v>
      </c>
      <c r="AD101" s="6">
        <f>VLOOKUP(F97,F$1:$L$601,1,FALSE)</f>
        <v>4752.04</v>
      </c>
      <c r="AE101" s="6">
        <f>VLOOKUP(G97,G$1:$L$601,1,FALSE)</f>
        <v>0.70297297297297334</v>
      </c>
      <c r="AF101" s="6">
        <f>VLOOKUP(H97,H$1:$L$601,1,FALSE)</f>
        <v>0</v>
      </c>
      <c r="AG101" s="6">
        <f>VLOOKUP(I97,I$1:$L$601,1,FALSE)</f>
        <v>45513</v>
      </c>
      <c r="AH101" s="6" t="str">
        <f>VLOOKUP(J97,J$1:$L$601,1,FALSE)</f>
        <v>AHMEDABAD</v>
      </c>
      <c r="AI101" s="6" t="str">
        <f>VLOOKUP(K97,K$1:$L$601,1,FALSE)</f>
        <v>B2C</v>
      </c>
      <c r="AJ101" s="6">
        <f>VLOOKUP(L97,L$1:$L$601,1,FALSE)</f>
        <v>129.37</v>
      </c>
    </row>
    <row r="102" spans="1:36" x14ac:dyDescent="0.25">
      <c r="A102">
        <v>1103</v>
      </c>
      <c r="B102" t="s">
        <v>153</v>
      </c>
      <c r="C102" t="s">
        <v>41</v>
      </c>
      <c r="D102" t="s">
        <v>90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29</v>
      </c>
      <c r="K102" t="s">
        <v>24</v>
      </c>
      <c r="L102" s="2">
        <v>1713.47</v>
      </c>
      <c r="Y102" s="6">
        <f>VLOOKUP(A98,A$1:$L$601,1,FALSE)</f>
        <v>1099</v>
      </c>
      <c r="Z102" s="6" t="str">
        <f>VLOOKUP(B98,B$1:$L$601,1,FALSE)</f>
        <v>Valerie Walker</v>
      </c>
      <c r="AA102" s="6" t="str">
        <f>VLOOKUP(C98,C$1:$L$601,1,FALSE)</f>
        <v>Shoes</v>
      </c>
      <c r="AB102" s="6" t="str">
        <f>VLOOKUP(D98,D$1:$L$601,1,FALSE)</f>
        <v>Loafers</v>
      </c>
      <c r="AC102" s="6">
        <f>VLOOKUP(E98,E$1:$L$601,1,FALSE)</f>
        <v>1.6216216216216217</v>
      </c>
      <c r="AD102" s="6">
        <f>VLOOKUP(F98,F$1:$L$601,1,FALSE)</f>
        <v>2557.4251351351354</v>
      </c>
      <c r="AE102" s="6">
        <f>VLOOKUP(G98,G$1:$L$601,1,FALSE)</f>
        <v>0.59740740740740739</v>
      </c>
      <c r="AF102" s="6">
        <f>VLOOKUP(H98,H$1:$L$601,1,FALSE)</f>
        <v>0</v>
      </c>
      <c r="AG102" s="6">
        <f>VLOOKUP(I98,I$1:$L$601,1,FALSE)</f>
        <v>45344</v>
      </c>
      <c r="AH102" s="6" t="str">
        <f>VLOOKUP(J98,J$1:$L$601,1,FALSE)</f>
        <v>PUNE</v>
      </c>
      <c r="AI102" s="6" t="str">
        <f>VLOOKUP(K98,K$1:$L$601,1,FALSE)</f>
        <v>B2B</v>
      </c>
      <c r="AJ102" s="6">
        <f>VLOOKUP(L98,L$1:$L$601,1,FALSE)</f>
        <v>300.02</v>
      </c>
    </row>
    <row r="103" spans="1:36" x14ac:dyDescent="0.25">
      <c r="A103">
        <v>1104</v>
      </c>
      <c r="B103" t="s">
        <v>154</v>
      </c>
      <c r="C103" t="s">
        <v>41</v>
      </c>
      <c r="D103" t="s">
        <v>59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19</v>
      </c>
      <c r="K103" t="s">
        <v>24</v>
      </c>
      <c r="L103" s="2">
        <v>1660.01</v>
      </c>
      <c r="Y103" s="6">
        <f>VLOOKUP(A99,A$1:$L$601,1,FALSE)</f>
        <v>1100</v>
      </c>
      <c r="Z103" s="6" t="str">
        <f>VLOOKUP(B99,B$1:$L$601,1,FALSE)</f>
        <v>Daniel Brown</v>
      </c>
      <c r="AA103" s="6" t="str">
        <f>VLOOKUP(C99,C$1:$L$601,1,FALSE)</f>
        <v>Shoes</v>
      </c>
      <c r="AB103" s="6" t="str">
        <f>VLOOKUP(D99,D$1:$L$601,1,FALSE)</f>
        <v>Boots</v>
      </c>
      <c r="AC103" s="6">
        <f>VLOOKUP(E99,E$1:$L$601,1,FALSE)</f>
        <v>2</v>
      </c>
      <c r="AD103" s="6">
        <f>VLOOKUP(F99,F$1:$L$601,1,FALSE)</f>
        <v>2011.73</v>
      </c>
      <c r="AE103" s="6">
        <f>VLOOKUP(G99,G$1:$L$601,1,FALSE)</f>
        <v>0.59740740740740739</v>
      </c>
      <c r="AF103" s="6">
        <f>VLOOKUP(H99,H$1:$L$601,1,FALSE)</f>
        <v>0</v>
      </c>
      <c r="AG103" s="6">
        <f>VLOOKUP(I99,I$1:$L$601,1,FALSE)</f>
        <v>45656</v>
      </c>
      <c r="AH103" s="6" t="str">
        <f>VLOOKUP(J99,J$1:$L$601,1,FALSE)</f>
        <v>HYDERBAD</v>
      </c>
      <c r="AI103" s="6" t="str">
        <f>VLOOKUP(K99,K$1:$L$601,1,FALSE)</f>
        <v>B2C</v>
      </c>
      <c r="AJ103" s="6">
        <f>VLOOKUP(L99,L$1:$L$601,1,FALSE)</f>
        <v>2493.5</v>
      </c>
    </row>
    <row r="104" spans="1:36" x14ac:dyDescent="0.25">
      <c r="A104">
        <v>1105</v>
      </c>
      <c r="B104" t="s">
        <v>155</v>
      </c>
      <c r="C104" t="s">
        <v>41</v>
      </c>
      <c r="D104" t="s">
        <v>59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19</v>
      </c>
      <c r="K104" t="s">
        <v>24</v>
      </c>
      <c r="L104" s="2">
        <v>616.04</v>
      </c>
      <c r="Y104" s="6">
        <f>VLOOKUP(A100,A$1:$L$601,1,FALSE)</f>
        <v>1101</v>
      </c>
      <c r="Z104" s="6" t="str">
        <f>VLOOKUP(B100,B$1:$L$601,1,FALSE)</f>
        <v>Stephen Smith</v>
      </c>
      <c r="AA104" s="6" t="str">
        <f>VLOOKUP(C100,C$1:$L$601,1,FALSE)</f>
        <v>Jeans</v>
      </c>
      <c r="AB104" s="6" t="str">
        <f>VLOOKUP(D100,D$1:$L$601,1,FALSE)</f>
        <v>Boyfriend Jeans</v>
      </c>
      <c r="AC104" s="6">
        <f>VLOOKUP(E100,E$1:$L$601,1,FALSE)</f>
        <v>2.1052631578947367</v>
      </c>
      <c r="AD104" s="6">
        <f>VLOOKUP(F100,F$1:$L$601,1,FALSE)</f>
        <v>2676.4254237288142</v>
      </c>
      <c r="AE104" s="6">
        <f>VLOOKUP(G100,G$1:$L$601,1,FALSE)</f>
        <v>0.22</v>
      </c>
      <c r="AF104" s="6">
        <f>VLOOKUP(H100,H$1:$L$601,1,FALSE)</f>
        <v>0</v>
      </c>
      <c r="AG104" s="6">
        <f>VLOOKUP(I100,I$1:$L$601,1,FALSE)</f>
        <v>45750</v>
      </c>
      <c r="AH104" s="6" t="str">
        <f>VLOOKUP(J100,J$1:$L$601,1,FALSE)</f>
        <v>PUNE</v>
      </c>
      <c r="AI104" s="6" t="str">
        <f>VLOOKUP(K100,K$1:$L$601,1,FALSE)</f>
        <v>B2C</v>
      </c>
      <c r="AJ104" s="6">
        <f>VLOOKUP(L100,L$1:$L$601,1,FALSE)</f>
        <v>2962.73</v>
      </c>
    </row>
    <row r="105" spans="1:36" x14ac:dyDescent="0.25">
      <c r="A105">
        <v>1106</v>
      </c>
      <c r="B105" t="s">
        <v>156</v>
      </c>
      <c r="C105" t="s">
        <v>13</v>
      </c>
      <c r="D105" t="s">
        <v>39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48</v>
      </c>
      <c r="K105" t="s">
        <v>16</v>
      </c>
      <c r="L105" s="2">
        <v>53.28</v>
      </c>
      <c r="Y105" s="6">
        <f>VLOOKUP(A101,A$1:$L$601,1,FALSE)</f>
        <v>1102</v>
      </c>
      <c r="Z105" s="6" t="str">
        <f>VLOOKUP(B101,B$1:$L$601,1,FALSE)</f>
        <v>Kimberly Walter</v>
      </c>
      <c r="AA105" s="6" t="str">
        <f>VLOOKUP(C101,C$1:$L$601,1,FALSE)</f>
        <v>Jeans</v>
      </c>
      <c r="AB105" s="6" t="str">
        <f>VLOOKUP(D101,D$1:$L$601,1,FALSE)</f>
        <v>Boyfriend Jeans</v>
      </c>
      <c r="AC105" s="6">
        <f>VLOOKUP(E101,E$1:$L$601,1,FALSE)</f>
        <v>5</v>
      </c>
      <c r="AD105" s="6">
        <f>VLOOKUP(F101,F$1:$L$601,1,FALSE)</f>
        <v>2676.4254237288142</v>
      </c>
      <c r="AE105" s="6">
        <f>VLOOKUP(G101,G$1:$L$601,1,FALSE)</f>
        <v>0.58977272727272723</v>
      </c>
      <c r="AF105" s="6">
        <f>VLOOKUP(H101,H$1:$L$601,1,FALSE)</f>
        <v>0</v>
      </c>
      <c r="AG105" s="6">
        <f>VLOOKUP(I101,I$1:$L$601,1,FALSE)</f>
        <v>45762</v>
      </c>
      <c r="AH105" s="6" t="str">
        <f>VLOOKUP(J101,J$1:$L$601,1,FALSE)</f>
        <v>HYDERBAD</v>
      </c>
      <c r="AI105" s="6" t="str">
        <f>VLOOKUP(K101,K$1:$L$601,1,FALSE)</f>
        <v>B2C</v>
      </c>
      <c r="AJ105" s="6">
        <f>VLOOKUP(L101,L$1:$L$601,1,FALSE)</f>
        <v>2776.7</v>
      </c>
    </row>
    <row r="106" spans="1:36" x14ac:dyDescent="0.25">
      <c r="A106">
        <v>1107</v>
      </c>
      <c r="B106" t="s">
        <v>157</v>
      </c>
      <c r="C106" t="s">
        <v>13</v>
      </c>
      <c r="D106" t="s">
        <v>51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  <c r="Y106" s="6">
        <f>VLOOKUP(A102,A$1:$L$601,1,FALSE)</f>
        <v>1103</v>
      </c>
      <c r="Z106" s="6" t="str">
        <f>VLOOKUP(B102,B$1:$L$601,1,FALSE)</f>
        <v>Brandon Webb</v>
      </c>
      <c r="AA106" s="6" t="str">
        <f>VLOOKUP(C102,C$1:$L$601,1,FALSE)</f>
        <v>Dresses</v>
      </c>
      <c r="AB106" s="6" t="str">
        <f>VLOOKUP(D102,D$1:$L$601,1,FALSE)</f>
        <v>Bodycon</v>
      </c>
      <c r="AC106" s="6">
        <f>VLOOKUP(E102,E$1:$L$601,1,FALSE)</f>
        <v>5</v>
      </c>
      <c r="AD106" s="6">
        <f>VLOOKUP(F102,F$1:$L$601,1,FALSE)</f>
        <v>1521.46</v>
      </c>
      <c r="AE106" s="6">
        <f>VLOOKUP(G102,G$1:$L$601,1,FALSE)</f>
        <v>0.55000000000000004</v>
      </c>
      <c r="AF106" s="6">
        <f>VLOOKUP(H102,H$1:$L$601,1,FALSE)</f>
        <v>0</v>
      </c>
      <c r="AG106" s="6">
        <f>VLOOKUP(I102,I$1:$L$601,1,FALSE)</f>
        <v>45967</v>
      </c>
      <c r="AH106" s="6" t="str">
        <f>VLOOKUP(J102,J$1:$L$601,1,FALSE)</f>
        <v>BANGALORE</v>
      </c>
      <c r="AI106" s="6" t="str">
        <f>VLOOKUP(K102,K$1:$L$601,1,FALSE)</f>
        <v>B2B</v>
      </c>
      <c r="AJ106" s="6">
        <f>VLOOKUP(L102,L$1:$L$601,1,FALSE)</f>
        <v>1713.47</v>
      </c>
    </row>
    <row r="107" spans="1:36" x14ac:dyDescent="0.25">
      <c r="A107">
        <v>1109</v>
      </c>
      <c r="B107" t="s">
        <v>158</v>
      </c>
      <c r="C107" t="s">
        <v>13</v>
      </c>
      <c r="D107" t="s">
        <v>101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33</v>
      </c>
      <c r="K107" t="s">
        <v>16</v>
      </c>
      <c r="L107" s="2">
        <v>2133.58</v>
      </c>
      <c r="Y107" s="6">
        <f>VLOOKUP(A103,A$1:$L$601,1,FALSE)</f>
        <v>1104</v>
      </c>
      <c r="Z107" s="6" t="str">
        <f>VLOOKUP(B103,B$1:$L$601,1,FALSE)</f>
        <v>Andrew Moreno</v>
      </c>
      <c r="AA107" s="6" t="str">
        <f>VLOOKUP(C103,C$1:$L$601,1,FALSE)</f>
        <v>Dresses</v>
      </c>
      <c r="AB107" s="6" t="str">
        <f>VLOOKUP(D103,D$1:$L$601,1,FALSE)</f>
        <v>Maxi Dress</v>
      </c>
      <c r="AC107" s="6">
        <f>VLOOKUP(E103,E$1:$L$601,1,FALSE)</f>
        <v>3</v>
      </c>
      <c r="AD107" s="6">
        <f>VLOOKUP(F103,F$1:$L$601,1,FALSE)</f>
        <v>2752.71</v>
      </c>
      <c r="AE107" s="6">
        <f>VLOOKUP(G103,G$1:$L$601,1,FALSE)</f>
        <v>0.55000000000000004</v>
      </c>
      <c r="AF107" s="6">
        <f>VLOOKUP(H103,H$1:$L$601,1,FALSE)</f>
        <v>0</v>
      </c>
      <c r="AG107" s="6">
        <f>VLOOKUP(I103,I$1:$L$601,1,FALSE)</f>
        <v>45454</v>
      </c>
      <c r="AH107" s="6" t="str">
        <f>VLOOKUP(J103,J$1:$L$601,1,FALSE)</f>
        <v>AHMEDABAD</v>
      </c>
      <c r="AI107" s="6" t="str">
        <f>VLOOKUP(K103,K$1:$L$601,1,FALSE)</f>
        <v>B2B</v>
      </c>
      <c r="AJ107" s="6">
        <f>VLOOKUP(L103,L$1:$L$601,1,FALSE)</f>
        <v>1660.01</v>
      </c>
    </row>
    <row r="108" spans="1:36" x14ac:dyDescent="0.25">
      <c r="A108">
        <v>1110</v>
      </c>
      <c r="B108" t="s">
        <v>159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23</v>
      </c>
      <c r="K108" t="s">
        <v>16</v>
      </c>
      <c r="L108" s="2">
        <v>2155.6799999999998</v>
      </c>
      <c r="Y108" s="6">
        <f>VLOOKUP(A104,A$1:$L$601,1,FALSE)</f>
        <v>1105</v>
      </c>
      <c r="Z108" s="6" t="str">
        <f>VLOOKUP(B104,B$1:$L$601,1,FALSE)</f>
        <v>Willie Smith</v>
      </c>
      <c r="AA108" s="6" t="str">
        <f>VLOOKUP(C104,C$1:$L$601,1,FALSE)</f>
        <v>Dresses</v>
      </c>
      <c r="AB108" s="6" t="str">
        <f>VLOOKUP(D104,D$1:$L$601,1,FALSE)</f>
        <v>Maxi Dress</v>
      </c>
      <c r="AC108" s="6">
        <f>VLOOKUP(E104,E$1:$L$601,1,FALSE)</f>
        <v>1.5178571428571428</v>
      </c>
      <c r="AD108" s="6">
        <f>VLOOKUP(F104,F$1:$L$601,1,FALSE)</f>
        <v>2949.9901960784309</v>
      </c>
      <c r="AE108" s="6">
        <f>VLOOKUP(G104,G$1:$L$601,1,FALSE)</f>
        <v>0.55000000000000004</v>
      </c>
      <c r="AF108" s="6">
        <f>VLOOKUP(H104,H$1:$L$601,1,FALSE)</f>
        <v>0</v>
      </c>
      <c r="AG108" s="6">
        <f>VLOOKUP(I104,I$1:$L$601,1,FALSE)</f>
        <v>45626.838268792708</v>
      </c>
      <c r="AH108" s="6" t="str">
        <f>VLOOKUP(J104,J$1:$L$601,1,FALSE)</f>
        <v>AHMEDABAD</v>
      </c>
      <c r="AI108" s="6" t="str">
        <f>VLOOKUP(K104,K$1:$L$601,1,FALSE)</f>
        <v>B2B</v>
      </c>
      <c r="AJ108" s="6">
        <f>VLOOKUP(L104,L$1:$L$601,1,FALSE)</f>
        <v>616.04</v>
      </c>
    </row>
    <row r="109" spans="1:36" x14ac:dyDescent="0.25">
      <c r="A109">
        <v>1111</v>
      </c>
      <c r="B109" t="s">
        <v>160</v>
      </c>
      <c r="C109" t="s">
        <v>36</v>
      </c>
      <c r="D109" t="s">
        <v>71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19</v>
      </c>
      <c r="K109" t="s">
        <v>16</v>
      </c>
      <c r="L109" s="2">
        <v>748.93</v>
      </c>
      <c r="Y109" s="6">
        <f>VLOOKUP(A105,A$1:$L$601,1,FALSE)</f>
        <v>1106</v>
      </c>
      <c r="Z109" s="6" t="str">
        <f>VLOOKUP(B105,B$1:$L$601,1,FALSE)</f>
        <v>Evelyn Allison</v>
      </c>
      <c r="AA109" s="6" t="str">
        <f>VLOOKUP(C105,C$1:$L$601,1,FALSE)</f>
        <v>Jeans</v>
      </c>
      <c r="AB109" s="6" t="str">
        <f>VLOOKUP(D105,D$1:$L$601,1,FALSE)</f>
        <v>Boyfriend Jeans</v>
      </c>
      <c r="AC109" s="6">
        <f>VLOOKUP(E105,E$1:$L$601,1,FALSE)</f>
        <v>3</v>
      </c>
      <c r="AD109" s="6">
        <f>VLOOKUP(F105,F$1:$L$601,1,FALSE)</f>
        <v>2676.4254237288142</v>
      </c>
      <c r="AE109" s="6">
        <f>VLOOKUP(G105,G$1:$L$601,1,FALSE)</f>
        <v>0.58977272727272723</v>
      </c>
      <c r="AF109" s="6">
        <f>VLOOKUP(H105,H$1:$L$601,1,FALSE)</f>
        <v>0</v>
      </c>
      <c r="AG109" s="6">
        <f>VLOOKUP(I105,I$1:$L$601,1,FALSE)</f>
        <v>45661</v>
      </c>
      <c r="AH109" s="6" t="str">
        <f>VLOOKUP(J105,J$1:$L$601,1,FALSE)</f>
        <v>PUNE</v>
      </c>
      <c r="AI109" s="6" t="str">
        <f>VLOOKUP(K105,K$1:$L$601,1,FALSE)</f>
        <v>B2C</v>
      </c>
      <c r="AJ109" s="6">
        <f>VLOOKUP(L105,L$1:$L$601,1,FALSE)</f>
        <v>53.28</v>
      </c>
    </row>
    <row r="110" spans="1:36" x14ac:dyDescent="0.25">
      <c r="A110">
        <v>1112</v>
      </c>
      <c r="B110" t="s">
        <v>161</v>
      </c>
      <c r="C110" t="s">
        <v>41</v>
      </c>
      <c r="D110" t="s">
        <v>42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23</v>
      </c>
      <c r="K110" t="s">
        <v>16</v>
      </c>
      <c r="L110" s="2">
        <v>1160.17</v>
      </c>
      <c r="Y110" s="6">
        <f>VLOOKUP(A106,A$1:$L$601,1,FALSE)</f>
        <v>1107</v>
      </c>
      <c r="Z110" s="6" t="str">
        <f>VLOOKUP(B106,B$1:$L$601,1,FALSE)</f>
        <v>Elizabeth Hood</v>
      </c>
      <c r="AA110" s="6" t="str">
        <f>VLOOKUP(C106,C$1:$L$601,1,FALSE)</f>
        <v>Jeans</v>
      </c>
      <c r="AB110" s="6" t="str">
        <f>VLOOKUP(D106,D$1:$L$601,1,FALSE)</f>
        <v>Straight Cut</v>
      </c>
      <c r="AC110" s="6">
        <f>VLOOKUP(E106,E$1:$L$601,1,FALSE)</f>
        <v>2.1052631578947367</v>
      </c>
      <c r="AD110" s="6">
        <f>VLOOKUP(F106,F$1:$L$601,1,FALSE)</f>
        <v>4948</v>
      </c>
      <c r="AE110" s="6">
        <f>VLOOKUP(G106,G$1:$L$601,1,FALSE)</f>
        <v>0.58977272727272723</v>
      </c>
      <c r="AF110" s="6">
        <f>VLOOKUP(H106,H$1:$L$601,1,FALSE)</f>
        <v>0</v>
      </c>
      <c r="AG110" s="6">
        <f>VLOOKUP(I106,I$1:$L$601,1,FALSE)</f>
        <v>45626.838268792708</v>
      </c>
      <c r="AH110" s="6" t="str">
        <f>VLOOKUP(J106,J$1:$L$601,1,FALSE)</f>
        <v>DELHI</v>
      </c>
      <c r="AI110" s="6" t="str">
        <f>VLOOKUP(K106,K$1:$L$601,1,FALSE)</f>
        <v>B2C</v>
      </c>
      <c r="AJ110" s="6">
        <f>VLOOKUP(L106,L$1:$L$601,1,FALSE)</f>
        <v>1064.8599999999999</v>
      </c>
    </row>
    <row r="111" spans="1:36" x14ac:dyDescent="0.25">
      <c r="A111">
        <v>1113</v>
      </c>
      <c r="B111" t="s">
        <v>162</v>
      </c>
      <c r="C111" t="s">
        <v>21</v>
      </c>
      <c r="D111" t="s">
        <v>22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19</v>
      </c>
      <c r="K111" t="s">
        <v>16</v>
      </c>
      <c r="L111" s="2">
        <v>-763.23</v>
      </c>
      <c r="Y111" s="6">
        <f>VLOOKUP(A107,A$1:$L$601,1,FALSE)</f>
        <v>1109</v>
      </c>
      <c r="Z111" s="6" t="str">
        <f>VLOOKUP(B107,B$1:$L$601,1,FALSE)</f>
        <v>Nicole Evans</v>
      </c>
      <c r="AA111" s="6" t="str">
        <f>VLOOKUP(C107,C$1:$L$601,1,FALSE)</f>
        <v>Jeans</v>
      </c>
      <c r="AB111" s="6" t="str">
        <f>VLOOKUP(D107,D$1:$L$601,1,FALSE)</f>
        <v>Ripped Denim</v>
      </c>
      <c r="AC111" s="6">
        <f>VLOOKUP(E107,E$1:$L$601,1,FALSE)</f>
        <v>2.1052631578947367</v>
      </c>
      <c r="AD111" s="6">
        <f>VLOOKUP(F107,F$1:$L$601,1,FALSE)</f>
        <v>2676.4254237288142</v>
      </c>
      <c r="AE111" s="6">
        <f>VLOOKUP(G107,G$1:$L$601,1,FALSE)</f>
        <v>0.58977272727272723</v>
      </c>
      <c r="AF111" s="6">
        <f>VLOOKUP(H107,H$1:$L$601,1,FALSE)</f>
        <v>0</v>
      </c>
      <c r="AG111" s="6">
        <f>VLOOKUP(I107,I$1:$L$601,1,FALSE)</f>
        <v>45693</v>
      </c>
      <c r="AH111" s="6" t="str">
        <f>VLOOKUP(J107,J$1:$L$601,1,FALSE)</f>
        <v>HYDERBAD</v>
      </c>
      <c r="AI111" s="6" t="str">
        <f>VLOOKUP(K107,K$1:$L$601,1,FALSE)</f>
        <v>B2C</v>
      </c>
      <c r="AJ111" s="6">
        <f>VLOOKUP(L107,L$1:$L$601,1,FALSE)</f>
        <v>2133.58</v>
      </c>
    </row>
    <row r="112" spans="1:36" x14ac:dyDescent="0.25">
      <c r="A112">
        <v>1114</v>
      </c>
      <c r="B112" t="s">
        <v>163</v>
      </c>
      <c r="C112" t="s">
        <v>41</v>
      </c>
      <c r="D112" t="s">
        <v>90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  <c r="Y112" s="6">
        <f>VLOOKUP(A108,A$1:$L$601,1,FALSE)</f>
        <v>1110</v>
      </c>
      <c r="Z112" s="6" t="str">
        <f>VLOOKUP(B108,B$1:$L$601,1,FALSE)</f>
        <v>Michael Velasquez</v>
      </c>
      <c r="AA112" s="6" t="str">
        <f>VLOOKUP(C108,C$1:$L$601,1,FALSE)</f>
        <v>Jeans</v>
      </c>
      <c r="AB112" s="6" t="str">
        <f>VLOOKUP(D108,D$1:$L$601,1,FALSE)</f>
        <v>Slim Fit Jeans</v>
      </c>
      <c r="AC112" s="6">
        <f>VLOOKUP(E108,E$1:$L$601,1,FALSE)</f>
        <v>4</v>
      </c>
      <c r="AD112" s="6">
        <f>VLOOKUP(F108,F$1:$L$601,1,FALSE)</f>
        <v>2676.4254237288142</v>
      </c>
      <c r="AE112" s="6">
        <f>VLOOKUP(G108,G$1:$L$601,1,FALSE)</f>
        <v>0.58977272727272723</v>
      </c>
      <c r="AF112" s="6">
        <f>VLOOKUP(H108,H$1:$L$601,1,FALSE)</f>
        <v>0</v>
      </c>
      <c r="AG112" s="6">
        <f>VLOOKUP(I108,I$1:$L$601,1,FALSE)</f>
        <v>45834</v>
      </c>
      <c r="AH112" s="6" t="str">
        <f>VLOOKUP(J108,J$1:$L$601,1,FALSE)</f>
        <v>MUMBAI</v>
      </c>
      <c r="AI112" s="6" t="str">
        <f>VLOOKUP(K108,K$1:$L$601,1,FALSE)</f>
        <v>B2C</v>
      </c>
      <c r="AJ112" s="6">
        <f>VLOOKUP(L108,L$1:$L$601,1,FALSE)</f>
        <v>2155.6799999999998</v>
      </c>
    </row>
    <row r="113" spans="1:36" x14ac:dyDescent="0.25">
      <c r="A113">
        <v>1115</v>
      </c>
      <c r="B113" t="s">
        <v>164</v>
      </c>
      <c r="C113" t="s">
        <v>31</v>
      </c>
      <c r="D113" t="s">
        <v>32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19</v>
      </c>
      <c r="K113" t="s">
        <v>16</v>
      </c>
      <c r="L113" s="2">
        <v>-624.26</v>
      </c>
      <c r="Y113" s="6">
        <f>VLOOKUP(A109,A$1:$L$601,1,FALSE)</f>
        <v>1111</v>
      </c>
      <c r="Z113" s="6" t="str">
        <f>VLOOKUP(B109,B$1:$L$601,1,FALSE)</f>
        <v>Tammy Gonzales</v>
      </c>
      <c r="AA113" s="6" t="str">
        <f>VLOOKUP(C109,C$1:$L$601,1,FALSE)</f>
        <v>T-Shirts</v>
      </c>
      <c r="AB113" s="6" t="str">
        <f>VLOOKUP(D109,D$1:$L$601,1,FALSE)</f>
        <v>Classic Tee</v>
      </c>
      <c r="AC113" s="6">
        <f>VLOOKUP(E109,E$1:$L$601,1,FALSE)</f>
        <v>1.5178571428571428</v>
      </c>
      <c r="AD113" s="6">
        <f>VLOOKUP(F109,F$1:$L$601,1,FALSE)</f>
        <v>2742.2927659574466</v>
      </c>
      <c r="AE113" s="6">
        <f>VLOOKUP(G109,G$1:$L$601,1,FALSE)</f>
        <v>0.65787878787878773</v>
      </c>
      <c r="AF113" s="6">
        <f>VLOOKUP(H109,H$1:$L$601,1,FALSE)</f>
        <v>0</v>
      </c>
      <c r="AG113" s="6">
        <f>VLOOKUP(I109,I$1:$L$601,1,FALSE)</f>
        <v>45626.838268792708</v>
      </c>
      <c r="AH113" s="6" t="str">
        <f>VLOOKUP(J109,J$1:$L$601,1,FALSE)</f>
        <v>AHMEDABAD</v>
      </c>
      <c r="AI113" s="6" t="str">
        <f>VLOOKUP(K109,K$1:$L$601,1,FALSE)</f>
        <v>B2C</v>
      </c>
      <c r="AJ113" s="6">
        <f>VLOOKUP(L109,L$1:$L$601,1,FALSE)</f>
        <v>748.93</v>
      </c>
    </row>
    <row r="114" spans="1:36" x14ac:dyDescent="0.25">
      <c r="A114">
        <v>1116</v>
      </c>
      <c r="B114" t="s">
        <v>165</v>
      </c>
      <c r="C114" t="s">
        <v>21</v>
      </c>
      <c r="D114" t="s">
        <v>79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  <c r="Y114" s="6">
        <f>VLOOKUP(A110,A$1:$L$601,1,FALSE)</f>
        <v>1112</v>
      </c>
      <c r="Z114" s="6" t="str">
        <f>VLOOKUP(B110,B$1:$L$601,1,FALSE)</f>
        <v>Sherry Shepard</v>
      </c>
      <c r="AA114" s="6" t="str">
        <f>VLOOKUP(C110,C$1:$L$601,1,FALSE)</f>
        <v>Dresses</v>
      </c>
      <c r="AB114" s="6" t="str">
        <f>VLOOKUP(D110,D$1:$L$601,1,FALSE)</f>
        <v>Casual Midi</v>
      </c>
      <c r="AC114" s="6">
        <f>VLOOKUP(E110,E$1:$L$601,1,FALSE)</f>
        <v>2.1864406779661016</v>
      </c>
      <c r="AD114" s="6">
        <f>VLOOKUP(F110,F$1:$L$601,1,FALSE)</f>
        <v>1027.56</v>
      </c>
      <c r="AE114" s="6">
        <f>VLOOKUP(G110,G$1:$L$601,1,FALSE)</f>
        <v>0.55000000000000004</v>
      </c>
      <c r="AF114" s="6">
        <f>VLOOKUP(H110,H$1:$L$601,1,FALSE)</f>
        <v>0</v>
      </c>
      <c r="AG114" s="6">
        <f>VLOOKUP(I110,I$1:$L$601,1,FALSE)</f>
        <v>45626.838268792708</v>
      </c>
      <c r="AH114" s="6" t="str">
        <f>VLOOKUP(J110,J$1:$L$601,1,FALSE)</f>
        <v>MUMBAI</v>
      </c>
      <c r="AI114" s="6" t="str">
        <f>VLOOKUP(K110,K$1:$L$601,1,FALSE)</f>
        <v>B2C</v>
      </c>
      <c r="AJ114" s="6">
        <f>VLOOKUP(L110,L$1:$L$601,1,FALSE)</f>
        <v>1160.17</v>
      </c>
    </row>
    <row r="115" spans="1:36" x14ac:dyDescent="0.25">
      <c r="A115">
        <v>1117</v>
      </c>
      <c r="B115" t="s">
        <v>166</v>
      </c>
      <c r="C115" t="s">
        <v>21</v>
      </c>
      <c r="D115" t="s">
        <v>22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29</v>
      </c>
      <c r="K115" t="s">
        <v>16</v>
      </c>
      <c r="L115" s="2">
        <v>-455.6</v>
      </c>
      <c r="Y115" s="6">
        <f>VLOOKUP(A111,A$1:$L$601,1,FALSE)</f>
        <v>1113</v>
      </c>
      <c r="Z115" s="6" t="str">
        <f>VLOOKUP(B111,B$1:$L$601,1,FALSE)</f>
        <v>Derek Edwards</v>
      </c>
      <c r="AA115" s="6" t="str">
        <f>VLOOKUP(C111,C$1:$L$601,1,FALSE)</f>
        <v>Jackets</v>
      </c>
      <c r="AB115" s="6" t="str">
        <f>VLOOKUP(D111,D$1:$L$601,1,FALSE)</f>
        <v>Puffer Coat</v>
      </c>
      <c r="AC115" s="6">
        <f>VLOOKUP(E111,E$1:$L$601,1,FALSE)</f>
        <v>1.8076923076923077</v>
      </c>
      <c r="AD115" s="6">
        <f>VLOOKUP(F111,F$1:$L$601,1,FALSE)</f>
        <v>3864.5</v>
      </c>
      <c r="AE115" s="6">
        <f>VLOOKUP(G111,G$1:$L$601,1,FALSE)</f>
        <v>0.69969696969696993</v>
      </c>
      <c r="AF115" s="6">
        <f>VLOOKUP(H111,H$1:$L$601,1,FALSE)</f>
        <v>0</v>
      </c>
      <c r="AG115" s="6">
        <f>VLOOKUP(I111,I$1:$L$601,1,FALSE)</f>
        <v>45626.838268792708</v>
      </c>
      <c r="AH115" s="6" t="str">
        <f>VLOOKUP(J111,J$1:$L$601,1,FALSE)</f>
        <v>AHMEDABAD</v>
      </c>
      <c r="AI115" s="6" t="str">
        <f>VLOOKUP(K111,K$1:$L$601,1,FALSE)</f>
        <v>B2C</v>
      </c>
      <c r="AJ115" s="6">
        <f>VLOOKUP(L111,L$1:$L$601,1,FALSE)</f>
        <v>-763.23</v>
      </c>
    </row>
    <row r="116" spans="1:36" x14ac:dyDescent="0.25">
      <c r="A116">
        <v>1118</v>
      </c>
      <c r="B116" t="s">
        <v>167</v>
      </c>
      <c r="C116" t="s">
        <v>31</v>
      </c>
      <c r="D116" t="s">
        <v>32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29</v>
      </c>
      <c r="K116" t="s">
        <v>16</v>
      </c>
      <c r="L116" s="2">
        <v>1039.53</v>
      </c>
      <c r="Y116" s="6">
        <f>VLOOKUP(A112,A$1:$L$601,1,FALSE)</f>
        <v>1114</v>
      </c>
      <c r="Z116" s="6" t="str">
        <f>VLOOKUP(B112,B$1:$L$601,1,FALSE)</f>
        <v>Robert Williams</v>
      </c>
      <c r="AA116" s="6" t="str">
        <f>VLOOKUP(C112,C$1:$L$601,1,FALSE)</f>
        <v>Dresses</v>
      </c>
      <c r="AB116" s="6" t="str">
        <f>VLOOKUP(D112,D$1:$L$601,1,FALSE)</f>
        <v>Bodycon</v>
      </c>
      <c r="AC116" s="6">
        <f>VLOOKUP(E112,E$1:$L$601,1,FALSE)</f>
        <v>6</v>
      </c>
      <c r="AD116" s="6">
        <f>VLOOKUP(F112,F$1:$L$601,1,FALSE)</f>
        <v>568.61</v>
      </c>
      <c r="AE116" s="6">
        <f>VLOOKUP(G112,G$1:$L$601,1,FALSE)</f>
        <v>0.2</v>
      </c>
      <c r="AF116" s="6">
        <f>VLOOKUP(H112,H$1:$L$601,1,FALSE)</f>
        <v>2729.33</v>
      </c>
      <c r="AG116" s="6">
        <f>VLOOKUP(I112,I$1:$L$601,1,FALSE)</f>
        <v>45706</v>
      </c>
      <c r="AH116" s="6" t="str">
        <f>VLOOKUP(J112,J$1:$L$601,1,FALSE)</f>
        <v>DELHI</v>
      </c>
      <c r="AI116" s="6" t="str">
        <f>VLOOKUP(K112,K$1:$L$601,1,FALSE)</f>
        <v>B2C</v>
      </c>
      <c r="AJ116" s="6">
        <f>VLOOKUP(L112,L$1:$L$601,1,FALSE)</f>
        <v>-689.16</v>
      </c>
    </row>
    <row r="117" spans="1:36" x14ac:dyDescent="0.25">
      <c r="A117">
        <v>1119</v>
      </c>
      <c r="B117" t="s">
        <v>168</v>
      </c>
      <c r="C117" t="s">
        <v>13</v>
      </c>
      <c r="D117" t="s">
        <v>101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23</v>
      </c>
      <c r="K117" t="s">
        <v>16</v>
      </c>
      <c r="L117" s="2">
        <v>142.69</v>
      </c>
      <c r="Y117" s="6">
        <f>VLOOKUP(A113,A$1:$L$601,1,FALSE)</f>
        <v>1115</v>
      </c>
      <c r="Z117" s="6" t="str">
        <f>VLOOKUP(B113,B$1:$L$601,1,FALSE)</f>
        <v>Carolyn Nelson</v>
      </c>
      <c r="AA117" s="6" t="str">
        <f>VLOOKUP(C113,C$1:$L$601,1,FALSE)</f>
        <v>Accessories</v>
      </c>
      <c r="AB117" s="6" t="str">
        <f>VLOOKUP(D113,D$1:$L$601,1,FALSE)</f>
        <v>Belts</v>
      </c>
      <c r="AC117" s="6">
        <f>VLOOKUP(E113,E$1:$L$601,1,FALSE)</f>
        <v>2.4893617021276597</v>
      </c>
      <c r="AD117" s="6">
        <f>VLOOKUP(F113,F$1:$L$601,1,FALSE)</f>
        <v>2706.1301960784322</v>
      </c>
      <c r="AE117" s="6">
        <f>VLOOKUP(G113,G$1:$L$601,1,FALSE)</f>
        <v>0.70297297297297334</v>
      </c>
      <c r="AF117" s="6">
        <f>VLOOKUP(H113,H$1:$L$601,1,FALSE)</f>
        <v>0</v>
      </c>
      <c r="AG117" s="6">
        <f>VLOOKUP(I113,I$1:$L$601,1,FALSE)</f>
        <v>45826</v>
      </c>
      <c r="AH117" s="6" t="str">
        <f>VLOOKUP(J113,J$1:$L$601,1,FALSE)</f>
        <v>AHMEDABAD</v>
      </c>
      <c r="AI117" s="6" t="str">
        <f>VLOOKUP(K113,K$1:$L$601,1,FALSE)</f>
        <v>B2C</v>
      </c>
      <c r="AJ117" s="6">
        <f>VLOOKUP(L113,L$1:$L$601,1,FALSE)</f>
        <v>-624.26</v>
      </c>
    </row>
    <row r="118" spans="1:36" x14ac:dyDescent="0.25">
      <c r="A118">
        <v>1120</v>
      </c>
      <c r="B118" t="s">
        <v>169</v>
      </c>
      <c r="C118" t="s">
        <v>21</v>
      </c>
      <c r="D118" t="s">
        <v>22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19</v>
      </c>
      <c r="K118" t="s">
        <v>16</v>
      </c>
      <c r="L118" s="2">
        <v>828.98</v>
      </c>
      <c r="Y118" s="6">
        <f>VLOOKUP(A114,A$1:$L$601,1,FALSE)</f>
        <v>1116</v>
      </c>
      <c r="Z118" s="6" t="str">
        <f>VLOOKUP(B114,B$1:$L$601,1,FALSE)</f>
        <v>Olivia Jones</v>
      </c>
      <c r="AA118" s="6" t="str">
        <f>VLOOKUP(C114,C$1:$L$601,1,FALSE)</f>
        <v>Jackets</v>
      </c>
      <c r="AB118" s="6" t="str">
        <f>VLOOKUP(D114,D$1:$L$601,1,FALSE)</f>
        <v>Bomber Jacket</v>
      </c>
      <c r="AC118" s="6">
        <f>VLOOKUP(E114,E$1:$L$601,1,FALSE)</f>
        <v>1</v>
      </c>
      <c r="AD118" s="6">
        <f>VLOOKUP(F114,F$1:$L$601,1,FALSE)</f>
        <v>2811.5702272727276</v>
      </c>
      <c r="AE118" s="6">
        <f>VLOOKUP(G114,G$1:$L$601,1,FALSE)</f>
        <v>0.69969696969696993</v>
      </c>
      <c r="AF118" s="6">
        <f>VLOOKUP(H114,H$1:$L$601,1,FALSE)</f>
        <v>0</v>
      </c>
      <c r="AG118" s="6">
        <f>VLOOKUP(I114,I$1:$L$601,1,FALSE)</f>
        <v>45718</v>
      </c>
      <c r="AH118" s="6" t="str">
        <f>VLOOKUP(J114,J$1:$L$601,1,FALSE)</f>
        <v>DELHI</v>
      </c>
      <c r="AI118" s="6" t="str">
        <f>VLOOKUP(K114,K$1:$L$601,1,FALSE)</f>
        <v>B2C</v>
      </c>
      <c r="AJ118" s="6">
        <f>VLOOKUP(L114,L$1:$L$601,1,FALSE)</f>
        <v>1733.04</v>
      </c>
    </row>
    <row r="119" spans="1:36" x14ac:dyDescent="0.25">
      <c r="A119">
        <v>1121</v>
      </c>
      <c r="B119" t="s">
        <v>170</v>
      </c>
      <c r="C119" t="s">
        <v>27</v>
      </c>
      <c r="D119" t="s">
        <v>85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48</v>
      </c>
      <c r="K119" t="s">
        <v>16</v>
      </c>
      <c r="L119" s="2">
        <v>1422.36</v>
      </c>
      <c r="Y119" s="6">
        <f>VLOOKUP(A115,A$1:$L$601,1,FALSE)</f>
        <v>1117</v>
      </c>
      <c r="Z119" s="6" t="str">
        <f>VLOOKUP(B115,B$1:$L$601,1,FALSE)</f>
        <v>Molly Johnson</v>
      </c>
      <c r="AA119" s="6" t="str">
        <f>VLOOKUP(C115,C$1:$L$601,1,FALSE)</f>
        <v>Jackets</v>
      </c>
      <c r="AB119" s="6" t="str">
        <f>VLOOKUP(D115,D$1:$L$601,1,FALSE)</f>
        <v>Puffer Coat</v>
      </c>
      <c r="AC119" s="6">
        <f>VLOOKUP(E115,E$1:$L$601,1,FALSE)</f>
        <v>1.8076923076923077</v>
      </c>
      <c r="AD119" s="6">
        <f>VLOOKUP(F115,F$1:$L$601,1,FALSE)</f>
        <v>3567.55</v>
      </c>
      <c r="AE119" s="6">
        <f>VLOOKUP(G115,G$1:$L$601,1,FALSE)</f>
        <v>0.69969696969696993</v>
      </c>
      <c r="AF119" s="6">
        <f>VLOOKUP(H115,H$1:$L$601,1,FALSE)</f>
        <v>0</v>
      </c>
      <c r="AG119" s="6">
        <f>VLOOKUP(I115,I$1:$L$601,1,FALSE)</f>
        <v>45626.838268792708</v>
      </c>
      <c r="AH119" s="6" t="str">
        <f>VLOOKUP(J115,J$1:$L$601,1,FALSE)</f>
        <v>BANGALORE</v>
      </c>
      <c r="AI119" s="6" t="str">
        <f>VLOOKUP(K115,K$1:$L$601,1,FALSE)</f>
        <v>B2C</v>
      </c>
      <c r="AJ119" s="6">
        <f>VLOOKUP(L115,L$1:$L$601,1,FALSE)</f>
        <v>-455.6</v>
      </c>
    </row>
    <row r="120" spans="1:36" x14ac:dyDescent="0.25">
      <c r="A120">
        <v>1122</v>
      </c>
      <c r="B120" t="s">
        <v>171</v>
      </c>
      <c r="C120" t="s">
        <v>21</v>
      </c>
      <c r="D120" t="s">
        <v>79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23</v>
      </c>
      <c r="K120" t="s">
        <v>16</v>
      </c>
      <c r="L120" s="2">
        <v>2658.02</v>
      </c>
      <c r="Y120" s="6">
        <f>VLOOKUP(A116,A$1:$L$601,1,FALSE)</f>
        <v>1118</v>
      </c>
      <c r="Z120" s="6" t="str">
        <f>VLOOKUP(B116,B$1:$L$601,1,FALSE)</f>
        <v>Jose Jackson</v>
      </c>
      <c r="AA120" s="6" t="str">
        <f>VLOOKUP(C116,C$1:$L$601,1,FALSE)</f>
        <v>Accessories</v>
      </c>
      <c r="AB120" s="6" t="str">
        <f>VLOOKUP(D116,D$1:$L$601,1,FALSE)</f>
        <v>Belts</v>
      </c>
      <c r="AC120" s="6">
        <f>VLOOKUP(E116,E$1:$L$601,1,FALSE)</f>
        <v>2.4893617021276597</v>
      </c>
      <c r="AD120" s="6">
        <f>VLOOKUP(F116,F$1:$L$601,1,FALSE)</f>
        <v>2706.1301960784322</v>
      </c>
      <c r="AE120" s="6">
        <f>VLOOKUP(G116,G$1:$L$601,1,FALSE)</f>
        <v>0.70297297297297334</v>
      </c>
      <c r="AF120" s="6">
        <f>VLOOKUP(H116,H$1:$L$601,1,FALSE)</f>
        <v>0</v>
      </c>
      <c r="AG120" s="6">
        <f>VLOOKUP(I116,I$1:$L$601,1,FALSE)</f>
        <v>45778</v>
      </c>
      <c r="AH120" s="6" t="str">
        <f>VLOOKUP(J116,J$1:$L$601,1,FALSE)</f>
        <v>BANGALORE</v>
      </c>
      <c r="AI120" s="6" t="str">
        <f>VLOOKUP(K116,K$1:$L$601,1,FALSE)</f>
        <v>B2C</v>
      </c>
      <c r="AJ120" s="6">
        <f>VLOOKUP(L116,L$1:$L$601,1,FALSE)</f>
        <v>1039.53</v>
      </c>
    </row>
    <row r="121" spans="1:36" x14ac:dyDescent="0.25">
      <c r="A121">
        <v>1123</v>
      </c>
      <c r="B121" t="s">
        <v>172</v>
      </c>
      <c r="C121" t="s">
        <v>31</v>
      </c>
      <c r="D121" t="s">
        <v>140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19</v>
      </c>
      <c r="K121" t="s">
        <v>16</v>
      </c>
      <c r="L121" s="2">
        <v>1494.78</v>
      </c>
      <c r="Y121" s="6">
        <f>VLOOKUP(A117,A$1:$L$601,1,FALSE)</f>
        <v>1119</v>
      </c>
      <c r="Z121" s="6" t="str">
        <f>VLOOKUP(B117,B$1:$L$601,1,FALSE)</f>
        <v>Elizabeth Vega</v>
      </c>
      <c r="AA121" s="6" t="str">
        <f>VLOOKUP(C117,C$1:$L$601,1,FALSE)</f>
        <v>Jeans</v>
      </c>
      <c r="AB121" s="6" t="str">
        <f>VLOOKUP(D117,D$1:$L$601,1,FALSE)</f>
        <v>Ripped Denim</v>
      </c>
      <c r="AC121" s="6">
        <f>VLOOKUP(E117,E$1:$L$601,1,FALSE)</f>
        <v>2.1052631578947367</v>
      </c>
      <c r="AD121" s="6">
        <f>VLOOKUP(F117,F$1:$L$601,1,FALSE)</f>
        <v>2676.4254237288142</v>
      </c>
      <c r="AE121" s="6">
        <f>VLOOKUP(G117,G$1:$L$601,1,FALSE)</f>
        <v>0.58977272727272723</v>
      </c>
      <c r="AF121" s="6">
        <f>VLOOKUP(H117,H$1:$L$601,1,FALSE)</f>
        <v>0</v>
      </c>
      <c r="AG121" s="6">
        <f>VLOOKUP(I117,I$1:$L$601,1,FALSE)</f>
        <v>45791</v>
      </c>
      <c r="AH121" s="6" t="str">
        <f>VLOOKUP(J117,J$1:$L$601,1,FALSE)</f>
        <v>MUMBAI</v>
      </c>
      <c r="AI121" s="6" t="str">
        <f>VLOOKUP(K117,K$1:$L$601,1,FALSE)</f>
        <v>B2C</v>
      </c>
      <c r="AJ121" s="6">
        <f>VLOOKUP(L117,L$1:$L$601,1,FALSE)</f>
        <v>142.69</v>
      </c>
    </row>
    <row r="122" spans="1:36" x14ac:dyDescent="0.25">
      <c r="A122">
        <v>1125</v>
      </c>
      <c r="B122" t="s">
        <v>173</v>
      </c>
      <c r="C122" t="s">
        <v>27</v>
      </c>
      <c r="D122" t="s">
        <v>85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  <c r="Y122" s="6">
        <f>VLOOKUP(A118,A$1:$L$601,1,FALSE)</f>
        <v>1120</v>
      </c>
      <c r="Z122" s="6" t="str">
        <f>VLOOKUP(B118,B$1:$L$601,1,FALSE)</f>
        <v>Angelica Gonzalez</v>
      </c>
      <c r="AA122" s="6" t="str">
        <f>VLOOKUP(C118,C$1:$L$601,1,FALSE)</f>
        <v>Jackets</v>
      </c>
      <c r="AB122" s="6" t="str">
        <f>VLOOKUP(D118,D$1:$L$601,1,FALSE)</f>
        <v>Puffer Coat</v>
      </c>
      <c r="AC122" s="6">
        <f>VLOOKUP(E118,E$1:$L$601,1,FALSE)</f>
        <v>1.8076923076923077</v>
      </c>
      <c r="AD122" s="6">
        <f>VLOOKUP(F118,F$1:$L$601,1,FALSE)</f>
        <v>4709</v>
      </c>
      <c r="AE122" s="6">
        <f>VLOOKUP(G118,G$1:$L$601,1,FALSE)</f>
        <v>0.69969696969696993</v>
      </c>
      <c r="AF122" s="6">
        <f>VLOOKUP(H118,H$1:$L$601,1,FALSE)</f>
        <v>0</v>
      </c>
      <c r="AG122" s="6">
        <f>VLOOKUP(I118,I$1:$L$601,1,FALSE)</f>
        <v>45782</v>
      </c>
      <c r="AH122" s="6" t="str">
        <f>VLOOKUP(J118,J$1:$L$601,1,FALSE)</f>
        <v>AHMEDABAD</v>
      </c>
      <c r="AI122" s="6" t="str">
        <f>VLOOKUP(K118,K$1:$L$601,1,FALSE)</f>
        <v>B2C</v>
      </c>
      <c r="AJ122" s="6">
        <f>VLOOKUP(L118,L$1:$L$601,1,FALSE)</f>
        <v>828.98</v>
      </c>
    </row>
    <row r="123" spans="1:36" x14ac:dyDescent="0.25">
      <c r="A123">
        <v>1126</v>
      </c>
      <c r="B123" t="s">
        <v>174</v>
      </c>
      <c r="C123" t="s">
        <v>13</v>
      </c>
      <c r="D123" t="s">
        <v>39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48</v>
      </c>
      <c r="K123" t="s">
        <v>16</v>
      </c>
      <c r="L123" s="2">
        <v>1820.2</v>
      </c>
      <c r="Y123" s="6">
        <f>VLOOKUP(A119,A$1:$L$601,1,FALSE)</f>
        <v>1121</v>
      </c>
      <c r="Z123" s="6" t="str">
        <f>VLOOKUP(B119,B$1:$L$601,1,FALSE)</f>
        <v>Henry Parker</v>
      </c>
      <c r="AA123" s="6" t="str">
        <f>VLOOKUP(C119,C$1:$L$601,1,FALSE)</f>
        <v>Shoes</v>
      </c>
      <c r="AB123" s="6" t="str">
        <f>VLOOKUP(D119,D$1:$L$601,1,FALSE)</f>
        <v>Boots</v>
      </c>
      <c r="AC123" s="6">
        <f>VLOOKUP(E119,E$1:$L$601,1,FALSE)</f>
        <v>1.6216216216216217</v>
      </c>
      <c r="AD123" s="6">
        <f>VLOOKUP(F119,F$1:$L$601,1,FALSE)</f>
        <v>4109.6000000000004</v>
      </c>
      <c r="AE123" s="6">
        <f>VLOOKUP(G119,G$1:$L$601,1,FALSE)</f>
        <v>0.42</v>
      </c>
      <c r="AF123" s="6">
        <f>VLOOKUP(H119,H$1:$L$601,1,FALSE)</f>
        <v>0</v>
      </c>
      <c r="AG123" s="6">
        <f>VLOOKUP(I119,I$1:$L$601,1,FALSE)</f>
        <v>45626.838268792708</v>
      </c>
      <c r="AH123" s="6" t="str">
        <f>VLOOKUP(J119,J$1:$L$601,1,FALSE)</f>
        <v>PUNE</v>
      </c>
      <c r="AI123" s="6" t="str">
        <f>VLOOKUP(K119,K$1:$L$601,1,FALSE)</f>
        <v>B2C</v>
      </c>
      <c r="AJ123" s="6">
        <f>VLOOKUP(L119,L$1:$L$601,1,FALSE)</f>
        <v>1422.36</v>
      </c>
    </row>
    <row r="124" spans="1:36" x14ac:dyDescent="0.25">
      <c r="A124">
        <v>1127</v>
      </c>
      <c r="B124" t="s">
        <v>175</v>
      </c>
      <c r="C124" t="s">
        <v>41</v>
      </c>
      <c r="D124" t="s">
        <v>90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19</v>
      </c>
      <c r="K124" t="s">
        <v>24</v>
      </c>
      <c r="L124" s="2">
        <v>2881.91</v>
      </c>
      <c r="Y124" s="6">
        <f>VLOOKUP(A120,A$1:$L$601,1,FALSE)</f>
        <v>1122</v>
      </c>
      <c r="Z124" s="6" t="str">
        <f>VLOOKUP(B120,B$1:$L$601,1,FALSE)</f>
        <v>Jennifer Lee</v>
      </c>
      <c r="AA124" s="6" t="str">
        <f>VLOOKUP(C120,C$1:$L$601,1,FALSE)</f>
        <v>Jackets</v>
      </c>
      <c r="AB124" s="6" t="str">
        <f>VLOOKUP(D120,D$1:$L$601,1,FALSE)</f>
        <v>Bomber Jacket</v>
      </c>
      <c r="AC124" s="6">
        <f>VLOOKUP(E120,E$1:$L$601,1,FALSE)</f>
        <v>0</v>
      </c>
      <c r="AD124" s="6">
        <f>VLOOKUP(F120,F$1:$L$601,1,FALSE)</f>
        <v>4745.03</v>
      </c>
      <c r="AE124" s="6">
        <f>VLOOKUP(G120,G$1:$L$601,1,FALSE)</f>
        <v>0.4</v>
      </c>
      <c r="AF124" s="6">
        <f>VLOOKUP(H120,H$1:$L$601,1,FALSE)</f>
        <v>0</v>
      </c>
      <c r="AG124" s="6">
        <f>VLOOKUP(I120,I$1:$L$601,1,FALSE)</f>
        <v>45626.838268792708</v>
      </c>
      <c r="AH124" s="6" t="str">
        <f>VLOOKUP(J120,J$1:$L$601,1,FALSE)</f>
        <v>MUMBAI</v>
      </c>
      <c r="AI124" s="6" t="str">
        <f>VLOOKUP(K120,K$1:$L$601,1,FALSE)</f>
        <v>B2C</v>
      </c>
      <c r="AJ124" s="6">
        <f>VLOOKUP(L120,L$1:$L$601,1,FALSE)</f>
        <v>2658.02</v>
      </c>
    </row>
    <row r="125" spans="1:36" x14ac:dyDescent="0.25">
      <c r="A125">
        <v>1128</v>
      </c>
      <c r="B125" t="s">
        <v>176</v>
      </c>
      <c r="C125" t="s">
        <v>36</v>
      </c>
      <c r="D125" t="s">
        <v>46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33</v>
      </c>
      <c r="K125" t="s">
        <v>16</v>
      </c>
      <c r="L125" s="2">
        <v>-68.489999999999995</v>
      </c>
      <c r="Y125" s="6">
        <f>VLOOKUP(A121,A$1:$L$601,1,FALSE)</f>
        <v>1123</v>
      </c>
      <c r="Z125" s="6" t="str">
        <f>VLOOKUP(B121,B$1:$L$601,1,FALSE)</f>
        <v>Michael Clarke</v>
      </c>
      <c r="AA125" s="6" t="str">
        <f>VLOOKUP(C121,C$1:$L$601,1,FALSE)</f>
        <v>Accessories</v>
      </c>
      <c r="AB125" s="6" t="str">
        <f>VLOOKUP(D121,D$1:$L$601,1,FALSE)</f>
        <v>Caps</v>
      </c>
      <c r="AC125" s="6">
        <f>VLOOKUP(E121,E$1:$L$601,1,FALSE)</f>
        <v>5</v>
      </c>
      <c r="AD125" s="6">
        <f>VLOOKUP(F121,F$1:$L$601,1,FALSE)</f>
        <v>3978.76</v>
      </c>
      <c r="AE125" s="6">
        <f>VLOOKUP(G121,G$1:$L$601,1,FALSE)</f>
        <v>0.70297297297297334</v>
      </c>
      <c r="AF125" s="6">
        <f>VLOOKUP(H121,H$1:$L$601,1,FALSE)</f>
        <v>0</v>
      </c>
      <c r="AG125" s="6">
        <f>VLOOKUP(I121,I$1:$L$601,1,FALSE)</f>
        <v>45393</v>
      </c>
      <c r="AH125" s="6" t="str">
        <f>VLOOKUP(J121,J$1:$L$601,1,FALSE)</f>
        <v>AHMEDABAD</v>
      </c>
      <c r="AI125" s="6" t="str">
        <f>VLOOKUP(K121,K$1:$L$601,1,FALSE)</f>
        <v>B2C</v>
      </c>
      <c r="AJ125" s="6">
        <f>VLOOKUP(L121,L$1:$L$601,1,FALSE)</f>
        <v>1494.78</v>
      </c>
    </row>
    <row r="126" spans="1:36" x14ac:dyDescent="0.25">
      <c r="A126">
        <v>1129</v>
      </c>
      <c r="B126" t="s">
        <v>177</v>
      </c>
      <c r="C126" t="s">
        <v>13</v>
      </c>
      <c r="D126" t="s">
        <v>39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23</v>
      </c>
      <c r="K126" t="s">
        <v>16</v>
      </c>
      <c r="L126" s="2">
        <v>-668.36</v>
      </c>
      <c r="Y126" s="6">
        <f>VLOOKUP(A122,A$1:$L$601,1,FALSE)</f>
        <v>1125</v>
      </c>
      <c r="Z126" s="6" t="str">
        <f>VLOOKUP(B122,B$1:$L$601,1,FALSE)</f>
        <v>Jason Turner</v>
      </c>
      <c r="AA126" s="6" t="str">
        <f>VLOOKUP(C122,C$1:$L$601,1,FALSE)</f>
        <v>Shoes</v>
      </c>
      <c r="AB126" s="6" t="str">
        <f>VLOOKUP(D122,D$1:$L$601,1,FALSE)</f>
        <v>Boots</v>
      </c>
      <c r="AC126" s="6">
        <f>VLOOKUP(E122,E$1:$L$601,1,FALSE)</f>
        <v>1.5178571428571428</v>
      </c>
      <c r="AD126" s="6">
        <f>VLOOKUP(F122,F$1:$L$601,1,FALSE)</f>
        <v>2557.4251351351354</v>
      </c>
      <c r="AE126" s="6">
        <f>VLOOKUP(G122,G$1:$L$601,1,FALSE)</f>
        <v>0.59740740740740739</v>
      </c>
      <c r="AF126" s="6">
        <f>VLOOKUP(H122,H$1:$L$601,1,FALSE)</f>
        <v>0</v>
      </c>
      <c r="AG126" s="6">
        <f>VLOOKUP(I122,I$1:$L$601,1,FALSE)</f>
        <v>45626.838268792708</v>
      </c>
      <c r="AH126" s="6" t="str">
        <f>VLOOKUP(J122,J$1:$L$601,1,FALSE)</f>
        <v>DELHI</v>
      </c>
      <c r="AI126" s="6" t="str">
        <f>VLOOKUP(K122,K$1:$L$601,1,FALSE)</f>
        <v>B2C</v>
      </c>
      <c r="AJ126" s="6">
        <f>VLOOKUP(L122,L$1:$L$601,1,FALSE)</f>
        <v>-754.58</v>
      </c>
    </row>
    <row r="127" spans="1:36" x14ac:dyDescent="0.25">
      <c r="A127">
        <v>1130</v>
      </c>
      <c r="B127" t="s">
        <v>35</v>
      </c>
      <c r="C127" t="s">
        <v>31</v>
      </c>
      <c r="D127" t="s">
        <v>44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24</v>
      </c>
      <c r="L127" s="2">
        <v>2782.45</v>
      </c>
      <c r="Y127" s="6">
        <f>VLOOKUP(A123,A$1:$L$601,1,FALSE)</f>
        <v>1126</v>
      </c>
      <c r="Z127" s="6" t="str">
        <f>VLOOKUP(B123,B$1:$L$601,1,FALSE)</f>
        <v>Grant Munoz</v>
      </c>
      <c r="AA127" s="6" t="str">
        <f>VLOOKUP(C123,C$1:$L$601,1,FALSE)</f>
        <v>Jeans</v>
      </c>
      <c r="AB127" s="6" t="str">
        <f>VLOOKUP(D123,D$1:$L$601,1,FALSE)</f>
        <v>Boyfriend Jeans</v>
      </c>
      <c r="AC127" s="6">
        <f>VLOOKUP(E123,E$1:$L$601,1,FALSE)</f>
        <v>2</v>
      </c>
      <c r="AD127" s="6">
        <f>VLOOKUP(F123,F$1:$L$601,1,FALSE)</f>
        <v>2676.4254237288142</v>
      </c>
      <c r="AE127" s="6">
        <f>VLOOKUP(G123,G$1:$L$601,1,FALSE)</f>
        <v>0.59</v>
      </c>
      <c r="AF127" s="6">
        <f>VLOOKUP(H123,H$1:$L$601,1,FALSE)</f>
        <v>0</v>
      </c>
      <c r="AG127" s="6">
        <f>VLOOKUP(I123,I$1:$L$601,1,FALSE)</f>
        <v>45626.838268792708</v>
      </c>
      <c r="AH127" s="6" t="str">
        <f>VLOOKUP(J123,J$1:$L$601,1,FALSE)</f>
        <v>PUNE</v>
      </c>
      <c r="AI127" s="6" t="str">
        <f>VLOOKUP(K123,K$1:$L$601,1,FALSE)</f>
        <v>B2C</v>
      </c>
      <c r="AJ127" s="6">
        <f>VLOOKUP(L123,L$1:$L$601,1,FALSE)</f>
        <v>1820.2</v>
      </c>
    </row>
    <row r="128" spans="1:36" x14ac:dyDescent="0.25">
      <c r="A128">
        <v>1131</v>
      </c>
      <c r="B128" t="s">
        <v>178</v>
      </c>
      <c r="C128" t="s">
        <v>36</v>
      </c>
      <c r="D128" t="s">
        <v>71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  <c r="Y128" s="6">
        <f>VLOOKUP(A124,A$1:$L$601,1,FALSE)</f>
        <v>1127</v>
      </c>
      <c r="Z128" s="6" t="str">
        <f>VLOOKUP(B124,B$1:$L$601,1,FALSE)</f>
        <v>Rhonda Ray</v>
      </c>
      <c r="AA128" s="6" t="str">
        <f>VLOOKUP(C124,C$1:$L$601,1,FALSE)</f>
        <v>Dresses</v>
      </c>
      <c r="AB128" s="6" t="str">
        <f>VLOOKUP(D124,D$1:$L$601,1,FALSE)</f>
        <v>Bodycon</v>
      </c>
      <c r="AC128" s="6">
        <f>VLOOKUP(E124,E$1:$L$601,1,FALSE)</f>
        <v>3</v>
      </c>
      <c r="AD128" s="6">
        <f>VLOOKUP(F124,F$1:$L$601,1,FALSE)</f>
        <v>4843.4399999999996</v>
      </c>
      <c r="AE128" s="6">
        <f>VLOOKUP(G124,G$1:$L$601,1,FALSE)</f>
        <v>7.0000000000000007E-2</v>
      </c>
      <c r="AF128" s="6">
        <f>VLOOKUP(H124,H$1:$L$601,1,FALSE)</f>
        <v>13513.2</v>
      </c>
      <c r="AG128" s="6">
        <f>VLOOKUP(I124,I$1:$L$601,1,FALSE)</f>
        <v>45481</v>
      </c>
      <c r="AH128" s="6" t="str">
        <f>VLOOKUP(J124,J$1:$L$601,1,FALSE)</f>
        <v>AHMEDABAD</v>
      </c>
      <c r="AI128" s="6" t="str">
        <f>VLOOKUP(K124,K$1:$L$601,1,FALSE)</f>
        <v>B2B</v>
      </c>
      <c r="AJ128" s="6">
        <f>VLOOKUP(L124,L$1:$L$601,1,FALSE)</f>
        <v>2881.91</v>
      </c>
    </row>
    <row r="129" spans="1:36" x14ac:dyDescent="0.25">
      <c r="A129">
        <v>1132</v>
      </c>
      <c r="B129" t="s">
        <v>179</v>
      </c>
      <c r="C129" t="s">
        <v>21</v>
      </c>
      <c r="D129" t="s">
        <v>79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24</v>
      </c>
      <c r="L129" s="2">
        <v>2043.57</v>
      </c>
      <c r="Y129" s="6">
        <f>VLOOKUP(A125,A$1:$L$601,1,FALSE)</f>
        <v>1128</v>
      </c>
      <c r="Z129" s="6" t="str">
        <f>VLOOKUP(B125,B$1:$L$601,1,FALSE)</f>
        <v>Susan Anderson</v>
      </c>
      <c r="AA129" s="6" t="str">
        <f>VLOOKUP(C125,C$1:$L$601,1,FALSE)</f>
        <v>T-Shirts</v>
      </c>
      <c r="AB129" s="6" t="str">
        <f>VLOOKUP(D125,D$1:$L$601,1,FALSE)</f>
        <v>Oversized T-Shirt</v>
      </c>
      <c r="AC129" s="6">
        <f>VLOOKUP(E125,E$1:$L$601,1,FALSE)</f>
        <v>1.5178571428571428</v>
      </c>
      <c r="AD129" s="6">
        <f>VLOOKUP(F125,F$1:$L$601,1,FALSE)</f>
        <v>2742.2927659574466</v>
      </c>
      <c r="AE129" s="6">
        <f>VLOOKUP(G125,G$1:$L$601,1,FALSE)</f>
        <v>0.43</v>
      </c>
      <c r="AF129" s="6">
        <f>VLOOKUP(H125,H$1:$L$601,1,FALSE)</f>
        <v>0</v>
      </c>
      <c r="AG129" s="6">
        <f>VLOOKUP(I125,I$1:$L$601,1,FALSE)</f>
        <v>45626.838268792708</v>
      </c>
      <c r="AH129" s="6" t="str">
        <f>VLOOKUP(J125,J$1:$L$601,1,FALSE)</f>
        <v>HYDERBAD</v>
      </c>
      <c r="AI129" s="6" t="str">
        <f>VLOOKUP(K125,K$1:$L$601,1,FALSE)</f>
        <v>B2C</v>
      </c>
      <c r="AJ129" s="6">
        <f>VLOOKUP(L125,L$1:$L$601,1,FALSE)</f>
        <v>-68.489999999999995</v>
      </c>
    </row>
    <row r="130" spans="1:36" x14ac:dyDescent="0.25">
      <c r="A130">
        <v>1133</v>
      </c>
      <c r="B130" t="s">
        <v>180</v>
      </c>
      <c r="C130" t="s">
        <v>41</v>
      </c>
      <c r="D130" t="s">
        <v>42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19</v>
      </c>
      <c r="K130" t="s">
        <v>16</v>
      </c>
      <c r="L130" s="2">
        <v>806.19</v>
      </c>
      <c r="Y130" s="6">
        <f>VLOOKUP(A126,A$1:$L$601,1,FALSE)</f>
        <v>1129</v>
      </c>
      <c r="Z130" s="6" t="str">
        <f>VLOOKUP(B126,B$1:$L$601,1,FALSE)</f>
        <v>Miranda Thomas</v>
      </c>
      <c r="AA130" s="6" t="str">
        <f>VLOOKUP(C126,C$1:$L$601,1,FALSE)</f>
        <v>Jeans</v>
      </c>
      <c r="AB130" s="6" t="str">
        <f>VLOOKUP(D126,D$1:$L$601,1,FALSE)</f>
        <v>Boyfriend Jeans</v>
      </c>
      <c r="AC130" s="6">
        <f>VLOOKUP(E126,E$1:$L$601,1,FALSE)</f>
        <v>1.5178571428571428</v>
      </c>
      <c r="AD130" s="6">
        <f>VLOOKUP(F126,F$1:$L$601,1,FALSE)</f>
        <v>2412.36</v>
      </c>
      <c r="AE130" s="6">
        <f>VLOOKUP(G126,G$1:$L$601,1,FALSE)</f>
        <v>0.23</v>
      </c>
      <c r="AF130" s="6">
        <f>VLOOKUP(H126,H$1:$L$601,1,FALSE)</f>
        <v>-3715.03</v>
      </c>
      <c r="AG130" s="6">
        <f>VLOOKUP(I126,I$1:$L$601,1,FALSE)</f>
        <v>45835</v>
      </c>
      <c r="AH130" s="6" t="str">
        <f>VLOOKUP(J126,J$1:$L$601,1,FALSE)</f>
        <v>MUMBAI</v>
      </c>
      <c r="AI130" s="6" t="str">
        <f>VLOOKUP(K126,K$1:$L$601,1,FALSE)</f>
        <v>B2C</v>
      </c>
      <c r="AJ130" s="6">
        <f>VLOOKUP(L126,L$1:$L$601,1,FALSE)</f>
        <v>-668.36</v>
      </c>
    </row>
    <row r="131" spans="1:36" x14ac:dyDescent="0.25">
      <c r="A131">
        <v>1134</v>
      </c>
      <c r="B131" t="s">
        <v>181</v>
      </c>
      <c r="C131" t="s">
        <v>41</v>
      </c>
      <c r="D131" t="s">
        <v>63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  <c r="Y131" s="6">
        <f>VLOOKUP(A127,A$1:$L$601,1,FALSE)</f>
        <v>1130</v>
      </c>
      <c r="Z131" s="6" t="str">
        <f>VLOOKUP(B127,B$1:$L$601,1,FALSE)</f>
        <v>Samuel Miller</v>
      </c>
      <c r="AA131" s="6" t="str">
        <f>VLOOKUP(C127,C$1:$L$601,1,FALSE)</f>
        <v>Accessories</v>
      </c>
      <c r="AB131" s="6" t="str">
        <f>VLOOKUP(D127,D$1:$L$601,1,FALSE)</f>
        <v>Sunglasses</v>
      </c>
      <c r="AC131" s="6">
        <f>VLOOKUP(E127,E$1:$L$601,1,FALSE)</f>
        <v>2.4893617021276597</v>
      </c>
      <c r="AD131" s="6">
        <f>VLOOKUP(F127,F$1:$L$601,1,FALSE)</f>
        <v>2706.1301960784322</v>
      </c>
      <c r="AE131" s="6">
        <f>VLOOKUP(G127,G$1:$L$601,1,FALSE)</f>
        <v>0.70297297297297334</v>
      </c>
      <c r="AF131" s="6">
        <f>VLOOKUP(H127,H$1:$L$601,1,FALSE)</f>
        <v>0</v>
      </c>
      <c r="AG131" s="6">
        <f>VLOOKUP(I127,I$1:$L$601,1,FALSE)</f>
        <v>45626.838268792708</v>
      </c>
      <c r="AH131" s="6" t="str">
        <f>VLOOKUP(J127,J$1:$L$601,1,FALSE)</f>
        <v>DELHI</v>
      </c>
      <c r="AI131" s="6" t="str">
        <f>VLOOKUP(K127,K$1:$L$601,1,FALSE)</f>
        <v>B2B</v>
      </c>
      <c r="AJ131" s="6">
        <f>VLOOKUP(L127,L$1:$L$601,1,FALSE)</f>
        <v>2782.45</v>
      </c>
    </row>
    <row r="132" spans="1:36" x14ac:dyDescent="0.25">
      <c r="A132">
        <v>1135</v>
      </c>
      <c r="B132" t="s">
        <v>182</v>
      </c>
      <c r="C132" t="s">
        <v>27</v>
      </c>
      <c r="D132" t="s">
        <v>55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23</v>
      </c>
      <c r="K132" t="s">
        <v>24</v>
      </c>
      <c r="L132" s="2">
        <v>1432.84</v>
      </c>
      <c r="Y132" s="6">
        <f>VLOOKUP(A128,A$1:$L$601,1,FALSE)</f>
        <v>1131</v>
      </c>
      <c r="Z132" s="6" t="str">
        <f>VLOOKUP(B128,B$1:$L$601,1,FALSE)</f>
        <v>Grace Chavez</v>
      </c>
      <c r="AA132" s="6" t="str">
        <f>VLOOKUP(C128,C$1:$L$601,1,FALSE)</f>
        <v>T-Shirts</v>
      </c>
      <c r="AB132" s="6" t="str">
        <f>VLOOKUP(D128,D$1:$L$601,1,FALSE)</f>
        <v>Classic Tee</v>
      </c>
      <c r="AC132" s="6">
        <f>VLOOKUP(E128,E$1:$L$601,1,FALSE)</f>
        <v>5</v>
      </c>
      <c r="AD132" s="6">
        <f>VLOOKUP(F128,F$1:$L$601,1,FALSE)</f>
        <v>2742.2927659574466</v>
      </c>
      <c r="AE132" s="6">
        <f>VLOOKUP(G128,G$1:$L$601,1,FALSE)</f>
        <v>0.99</v>
      </c>
      <c r="AF132" s="6">
        <f>VLOOKUP(H128,H$1:$L$601,1,FALSE)</f>
        <v>0</v>
      </c>
      <c r="AG132" s="6">
        <f>VLOOKUP(I128,I$1:$L$601,1,FALSE)</f>
        <v>45675</v>
      </c>
      <c r="AH132" s="6" t="str">
        <f>VLOOKUP(J128,J$1:$L$601,1,FALSE)</f>
        <v>DELHI</v>
      </c>
      <c r="AI132" s="6" t="str">
        <f>VLOOKUP(K128,K$1:$L$601,1,FALSE)</f>
        <v>B2C</v>
      </c>
      <c r="AJ132" s="6">
        <f>VLOOKUP(L128,L$1:$L$601,1,FALSE)</f>
        <v>-941.56</v>
      </c>
    </row>
    <row r="133" spans="1:36" x14ac:dyDescent="0.25">
      <c r="A133">
        <v>1136</v>
      </c>
      <c r="B133" t="s">
        <v>183</v>
      </c>
      <c r="C133" t="s">
        <v>13</v>
      </c>
      <c r="D133" t="s">
        <v>51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23</v>
      </c>
      <c r="K133" t="s">
        <v>16</v>
      </c>
      <c r="L133" s="2">
        <v>1897.33</v>
      </c>
      <c r="Y133" s="6">
        <f>VLOOKUP(A129,A$1:$L$601,1,FALSE)</f>
        <v>1132</v>
      </c>
      <c r="Z133" s="6" t="str">
        <f>VLOOKUP(B129,B$1:$L$601,1,FALSE)</f>
        <v>Andrew Carlson</v>
      </c>
      <c r="AA133" s="6" t="str">
        <f>VLOOKUP(C129,C$1:$L$601,1,FALSE)</f>
        <v>Jackets</v>
      </c>
      <c r="AB133" s="6" t="str">
        <f>VLOOKUP(D129,D$1:$L$601,1,FALSE)</f>
        <v>Bomber Jacket</v>
      </c>
      <c r="AC133" s="6">
        <f>VLOOKUP(E129,E$1:$L$601,1,FALSE)</f>
        <v>1.8076923076923077</v>
      </c>
      <c r="AD133" s="6">
        <f>VLOOKUP(F129,F$1:$L$601,1,FALSE)</f>
        <v>2811.5702272727276</v>
      </c>
      <c r="AE133" s="6">
        <f>VLOOKUP(G129,G$1:$L$601,1,FALSE)</f>
        <v>0.57999999999999996</v>
      </c>
      <c r="AF133" s="6">
        <f>VLOOKUP(H129,H$1:$L$601,1,FALSE)</f>
        <v>0</v>
      </c>
      <c r="AG133" s="6">
        <f>VLOOKUP(I129,I$1:$L$601,1,FALSE)</f>
        <v>45626.838268792708</v>
      </c>
      <c r="AH133" s="6" t="str">
        <f>VLOOKUP(J129,J$1:$L$601,1,FALSE)</f>
        <v>DELHI</v>
      </c>
      <c r="AI133" s="6" t="str">
        <f>VLOOKUP(K129,K$1:$L$601,1,FALSE)</f>
        <v>B2B</v>
      </c>
      <c r="AJ133" s="6">
        <f>VLOOKUP(L129,L$1:$L$601,1,FALSE)</f>
        <v>2043.57</v>
      </c>
    </row>
    <row r="134" spans="1:36" x14ac:dyDescent="0.25">
      <c r="A134">
        <v>1137</v>
      </c>
      <c r="B134" t="s">
        <v>184</v>
      </c>
      <c r="C134" t="s">
        <v>27</v>
      </c>
      <c r="D134" t="s">
        <v>55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24</v>
      </c>
      <c r="L134" s="2">
        <v>1161.76</v>
      </c>
      <c r="Y134" s="6">
        <f>VLOOKUP(A130,A$1:$L$601,1,FALSE)</f>
        <v>1133</v>
      </c>
      <c r="Z134" s="6" t="str">
        <f>VLOOKUP(B130,B$1:$L$601,1,FALSE)</f>
        <v>Erin Williams</v>
      </c>
      <c r="AA134" s="6" t="str">
        <f>VLOOKUP(C130,C$1:$L$601,1,FALSE)</f>
        <v>Dresses</v>
      </c>
      <c r="AB134" s="6" t="str">
        <f>VLOOKUP(D130,D$1:$L$601,1,FALSE)</f>
        <v>Casual Midi</v>
      </c>
      <c r="AC134" s="6">
        <f>VLOOKUP(E130,E$1:$L$601,1,FALSE)</f>
        <v>2.1864406779661016</v>
      </c>
      <c r="AD134" s="6">
        <f>VLOOKUP(F130,F$1:$L$601,1,FALSE)</f>
        <v>2949.9901960784309</v>
      </c>
      <c r="AE134" s="6">
        <f>VLOOKUP(G130,G$1:$L$601,1,FALSE)</f>
        <v>0.6</v>
      </c>
      <c r="AF134" s="6">
        <f>VLOOKUP(H130,H$1:$L$601,1,FALSE)</f>
        <v>0</v>
      </c>
      <c r="AG134" s="6">
        <f>VLOOKUP(I130,I$1:$L$601,1,FALSE)</f>
        <v>45626.838268792708</v>
      </c>
      <c r="AH134" s="6" t="str">
        <f>VLOOKUP(J130,J$1:$L$601,1,FALSE)</f>
        <v>AHMEDABAD</v>
      </c>
      <c r="AI134" s="6" t="str">
        <f>VLOOKUP(K130,K$1:$L$601,1,FALSE)</f>
        <v>B2C</v>
      </c>
      <c r="AJ134" s="6">
        <f>VLOOKUP(L130,L$1:$L$601,1,FALSE)</f>
        <v>806.19</v>
      </c>
    </row>
    <row r="135" spans="1:36" x14ac:dyDescent="0.25">
      <c r="A135">
        <v>1138</v>
      </c>
      <c r="B135" t="s">
        <v>185</v>
      </c>
      <c r="C135" t="s">
        <v>41</v>
      </c>
      <c r="D135" t="s">
        <v>90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33</v>
      </c>
      <c r="K135" t="s">
        <v>16</v>
      </c>
      <c r="L135" s="2">
        <v>-658.58</v>
      </c>
      <c r="Y135" s="6">
        <f>VLOOKUP(A131,A$1:$L$601,1,FALSE)</f>
        <v>1134</v>
      </c>
      <c r="Z135" s="6" t="str">
        <f>VLOOKUP(B131,B$1:$L$601,1,FALSE)</f>
        <v>Melissa Jenkins</v>
      </c>
      <c r="AA135" s="6" t="str">
        <f>VLOOKUP(C131,C$1:$L$601,1,FALSE)</f>
        <v>Dresses</v>
      </c>
      <c r="AB135" s="6" t="str">
        <f>VLOOKUP(D131,D$1:$L$601,1,FALSE)</f>
        <v>Wrap Dress</v>
      </c>
      <c r="AC135" s="6">
        <f>VLOOKUP(E131,E$1:$L$601,1,FALSE)</f>
        <v>3</v>
      </c>
      <c r="AD135" s="6">
        <f>VLOOKUP(F131,F$1:$L$601,1,FALSE)</f>
        <v>2949.9901960784309</v>
      </c>
      <c r="AE135" s="6">
        <f>VLOOKUP(G131,G$1:$L$601,1,FALSE)</f>
        <v>0.55000000000000004</v>
      </c>
      <c r="AF135" s="6">
        <f>VLOOKUP(H131,H$1:$L$601,1,FALSE)</f>
        <v>0</v>
      </c>
      <c r="AG135" s="6">
        <f>VLOOKUP(I131,I$1:$L$601,1,FALSE)</f>
        <v>45791</v>
      </c>
      <c r="AH135" s="6" t="str">
        <f>VLOOKUP(J131,J$1:$L$601,1,FALSE)</f>
        <v>DELHI</v>
      </c>
      <c r="AI135" s="6" t="str">
        <f>VLOOKUP(K131,K$1:$L$601,1,FALSE)</f>
        <v>B2C</v>
      </c>
      <c r="AJ135" s="6">
        <f>VLOOKUP(L131,L$1:$L$601,1,FALSE)</f>
        <v>1101.19</v>
      </c>
    </row>
    <row r="136" spans="1:36" x14ac:dyDescent="0.25">
      <c r="A136">
        <v>1139</v>
      </c>
      <c r="B136" t="s">
        <v>186</v>
      </c>
      <c r="C136" t="s">
        <v>36</v>
      </c>
      <c r="D136" t="s">
        <v>81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29</v>
      </c>
      <c r="K136" t="s">
        <v>16</v>
      </c>
      <c r="L136" s="2">
        <v>-832.45</v>
      </c>
      <c r="Y136" s="6">
        <f>VLOOKUP(A132,A$1:$L$601,1,FALSE)</f>
        <v>1135</v>
      </c>
      <c r="Z136" s="6" t="str">
        <f>VLOOKUP(B132,B$1:$L$601,1,FALSE)</f>
        <v>Ronald Ballard</v>
      </c>
      <c r="AA136" s="6" t="str">
        <f>VLOOKUP(C132,C$1:$L$601,1,FALSE)</f>
        <v>Shoes</v>
      </c>
      <c r="AB136" s="6" t="str">
        <f>VLOOKUP(D132,D$1:$L$601,1,FALSE)</f>
        <v>Sneakers</v>
      </c>
      <c r="AC136" s="6">
        <f>VLOOKUP(E132,E$1:$L$601,1,FALSE)</f>
        <v>4</v>
      </c>
      <c r="AD136" s="6">
        <f>VLOOKUP(F132,F$1:$L$601,1,FALSE)</f>
        <v>1556.96</v>
      </c>
      <c r="AE136" s="6">
        <f>VLOOKUP(G132,G$1:$L$601,1,FALSE)</f>
        <v>0.84</v>
      </c>
      <c r="AF136" s="6">
        <f>VLOOKUP(H132,H$1:$L$601,1,FALSE)</f>
        <v>996.45</v>
      </c>
      <c r="AG136" s="6">
        <f>VLOOKUP(I132,I$1:$L$601,1,FALSE)</f>
        <v>45588</v>
      </c>
      <c r="AH136" s="6" t="str">
        <f>VLOOKUP(J132,J$1:$L$601,1,FALSE)</f>
        <v>MUMBAI</v>
      </c>
      <c r="AI136" s="6" t="str">
        <f>VLOOKUP(K132,K$1:$L$601,1,FALSE)</f>
        <v>B2B</v>
      </c>
      <c r="AJ136" s="6">
        <f>VLOOKUP(L132,L$1:$L$601,1,FALSE)</f>
        <v>1432.84</v>
      </c>
    </row>
    <row r="137" spans="1:36" x14ac:dyDescent="0.25">
      <c r="A137">
        <v>1140</v>
      </c>
      <c r="B137" t="s">
        <v>187</v>
      </c>
      <c r="C137" t="s">
        <v>31</v>
      </c>
      <c r="D137" t="s">
        <v>32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33</v>
      </c>
      <c r="K137" t="s">
        <v>24</v>
      </c>
      <c r="L137" s="2">
        <v>-127.91</v>
      </c>
      <c r="Y137" s="6">
        <f>VLOOKUP(A133,A$1:$L$601,1,FALSE)</f>
        <v>1136</v>
      </c>
      <c r="Z137" s="6" t="str">
        <f>VLOOKUP(B133,B$1:$L$601,1,FALSE)</f>
        <v>Danielle Johnson</v>
      </c>
      <c r="AA137" s="6" t="str">
        <f>VLOOKUP(C133,C$1:$L$601,1,FALSE)</f>
        <v>Jeans</v>
      </c>
      <c r="AB137" s="6" t="str">
        <f>VLOOKUP(D133,D$1:$L$601,1,FALSE)</f>
        <v>Straight Cut</v>
      </c>
      <c r="AC137" s="6">
        <f>VLOOKUP(E133,E$1:$L$601,1,FALSE)</f>
        <v>2.1052631578947367</v>
      </c>
      <c r="AD137" s="6">
        <f>VLOOKUP(F133,F$1:$L$601,1,FALSE)</f>
        <v>3658.42</v>
      </c>
      <c r="AE137" s="6">
        <f>VLOOKUP(G133,G$1:$L$601,1,FALSE)</f>
        <v>0.47</v>
      </c>
      <c r="AF137" s="6">
        <f>VLOOKUP(H133,H$1:$L$601,1,FALSE)</f>
        <v>0</v>
      </c>
      <c r="AG137" s="6">
        <f>VLOOKUP(I133,I$1:$L$601,1,FALSE)</f>
        <v>45318</v>
      </c>
      <c r="AH137" s="6" t="str">
        <f>VLOOKUP(J133,J$1:$L$601,1,FALSE)</f>
        <v>MUMBAI</v>
      </c>
      <c r="AI137" s="6" t="str">
        <f>VLOOKUP(K133,K$1:$L$601,1,FALSE)</f>
        <v>B2C</v>
      </c>
      <c r="AJ137" s="6">
        <f>VLOOKUP(L133,L$1:$L$601,1,FALSE)</f>
        <v>1897.33</v>
      </c>
    </row>
    <row r="138" spans="1:36" x14ac:dyDescent="0.25">
      <c r="A138">
        <v>1141</v>
      </c>
      <c r="B138" t="s">
        <v>188</v>
      </c>
      <c r="C138" t="s">
        <v>36</v>
      </c>
      <c r="D138" t="s">
        <v>81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  <c r="Y138" s="6">
        <f>VLOOKUP(A134,A$1:$L$601,1,FALSE)</f>
        <v>1137</v>
      </c>
      <c r="Z138" s="6" t="str">
        <f>VLOOKUP(B134,B$1:$L$601,1,FALSE)</f>
        <v>Jason Moore</v>
      </c>
      <c r="AA138" s="6" t="str">
        <f>VLOOKUP(C134,C$1:$L$601,1,FALSE)</f>
        <v>Shoes</v>
      </c>
      <c r="AB138" s="6" t="str">
        <f>VLOOKUP(D134,D$1:$L$601,1,FALSE)</f>
        <v>Sneakers</v>
      </c>
      <c r="AC138" s="6">
        <f>VLOOKUP(E134,E$1:$L$601,1,FALSE)</f>
        <v>1.6216216216216217</v>
      </c>
      <c r="AD138" s="6">
        <f>VLOOKUP(F134,F$1:$L$601,1,FALSE)</f>
        <v>4206.0600000000004</v>
      </c>
      <c r="AE138" s="6">
        <f>VLOOKUP(G134,G$1:$L$601,1,FALSE)</f>
        <v>0.59740740740740739</v>
      </c>
      <c r="AF138" s="6">
        <f>VLOOKUP(H134,H$1:$L$601,1,FALSE)</f>
        <v>0</v>
      </c>
      <c r="AG138" s="6">
        <f>VLOOKUP(I134,I$1:$L$601,1,FALSE)</f>
        <v>45770</v>
      </c>
      <c r="AH138" s="6" t="str">
        <f>VLOOKUP(J134,J$1:$L$601,1,FALSE)</f>
        <v>DELHI</v>
      </c>
      <c r="AI138" s="6" t="str">
        <f>VLOOKUP(K134,K$1:$L$601,1,FALSE)</f>
        <v>B2B</v>
      </c>
      <c r="AJ138" s="6">
        <f>VLOOKUP(L134,L$1:$L$601,1,FALSE)</f>
        <v>1161.76</v>
      </c>
    </row>
    <row r="139" spans="1:36" x14ac:dyDescent="0.25">
      <c r="A139">
        <v>1142</v>
      </c>
      <c r="B139" t="s">
        <v>189</v>
      </c>
      <c r="C139" t="s">
        <v>41</v>
      </c>
      <c r="D139" t="s">
        <v>90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33</v>
      </c>
      <c r="K139" t="s">
        <v>16</v>
      </c>
      <c r="L139" s="2">
        <v>-509.67</v>
      </c>
      <c r="Y139" s="6">
        <f>VLOOKUP(A135,A$1:$L$601,1,FALSE)</f>
        <v>1138</v>
      </c>
      <c r="Z139" s="6" t="str">
        <f>VLOOKUP(B135,B$1:$L$601,1,FALSE)</f>
        <v>Thomas Freeman</v>
      </c>
      <c r="AA139" s="6" t="str">
        <f>VLOOKUP(C135,C$1:$L$601,1,FALSE)</f>
        <v>Dresses</v>
      </c>
      <c r="AB139" s="6" t="str">
        <f>VLOOKUP(D135,D$1:$L$601,1,FALSE)</f>
        <v>Bodycon</v>
      </c>
      <c r="AC139" s="6">
        <f>VLOOKUP(E135,E$1:$L$601,1,FALSE)</f>
        <v>2.1864406779661016</v>
      </c>
      <c r="AD139" s="6">
        <f>VLOOKUP(F135,F$1:$L$601,1,FALSE)</f>
        <v>2949.9901960784309</v>
      </c>
      <c r="AE139" s="6">
        <f>VLOOKUP(G135,G$1:$L$601,1,FALSE)</f>
        <v>0.26</v>
      </c>
      <c r="AF139" s="6">
        <f>VLOOKUP(H135,H$1:$L$601,1,FALSE)</f>
        <v>0</v>
      </c>
      <c r="AG139" s="6">
        <f>VLOOKUP(I135,I$1:$L$601,1,FALSE)</f>
        <v>45626.838268792708</v>
      </c>
      <c r="AH139" s="6" t="str">
        <f>VLOOKUP(J135,J$1:$L$601,1,FALSE)</f>
        <v>HYDERBAD</v>
      </c>
      <c r="AI139" s="6" t="str">
        <f>VLOOKUP(K135,K$1:$L$601,1,FALSE)</f>
        <v>B2C</v>
      </c>
      <c r="AJ139" s="6">
        <f>VLOOKUP(L135,L$1:$L$601,1,FALSE)</f>
        <v>-658.58</v>
      </c>
    </row>
    <row r="140" spans="1:36" x14ac:dyDescent="0.25">
      <c r="A140">
        <v>1143</v>
      </c>
      <c r="B140" t="s">
        <v>190</v>
      </c>
      <c r="C140" t="s">
        <v>21</v>
      </c>
      <c r="D140" t="s">
        <v>87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29</v>
      </c>
      <c r="K140" t="s">
        <v>16</v>
      </c>
      <c r="L140" s="2">
        <v>816.49</v>
      </c>
      <c r="Y140" s="6">
        <f>VLOOKUP(A136,A$1:$L$601,1,FALSE)</f>
        <v>1139</v>
      </c>
      <c r="Z140" s="6" t="str">
        <f>VLOOKUP(B136,B$1:$L$601,1,FALSE)</f>
        <v>Katherine Reyes</v>
      </c>
      <c r="AA140" s="6" t="str">
        <f>VLOOKUP(C136,C$1:$L$601,1,FALSE)</f>
        <v>T-Shirts</v>
      </c>
      <c r="AB140" s="6" t="str">
        <f>VLOOKUP(D136,D$1:$L$601,1,FALSE)</f>
        <v>Graphic Tee</v>
      </c>
      <c r="AC140" s="6">
        <f>VLOOKUP(E136,E$1:$L$601,1,FALSE)</f>
        <v>1.5178571428571428</v>
      </c>
      <c r="AD140" s="6">
        <f>VLOOKUP(F136,F$1:$L$601,1,FALSE)</f>
        <v>2742.2927659574466</v>
      </c>
      <c r="AE140" s="6">
        <f>VLOOKUP(G136,G$1:$L$601,1,FALSE)</f>
        <v>0.21</v>
      </c>
      <c r="AF140" s="6">
        <f>VLOOKUP(H136,H$1:$L$601,1,FALSE)</f>
        <v>0</v>
      </c>
      <c r="AG140" s="6">
        <f>VLOOKUP(I136,I$1:$L$601,1,FALSE)</f>
        <v>45593</v>
      </c>
      <c r="AH140" s="6" t="str">
        <f>VLOOKUP(J136,J$1:$L$601,1,FALSE)</f>
        <v>BANGALORE</v>
      </c>
      <c r="AI140" s="6" t="str">
        <f>VLOOKUP(K136,K$1:$L$601,1,FALSE)</f>
        <v>B2C</v>
      </c>
      <c r="AJ140" s="6">
        <f>VLOOKUP(L136,L$1:$L$601,1,FALSE)</f>
        <v>-832.45</v>
      </c>
    </row>
    <row r="141" spans="1:36" x14ac:dyDescent="0.25">
      <c r="A141">
        <v>1144</v>
      </c>
      <c r="B141" t="s">
        <v>191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23</v>
      </c>
      <c r="K141" t="s">
        <v>16</v>
      </c>
      <c r="L141" s="2">
        <v>2966.21</v>
      </c>
      <c r="Y141" s="6">
        <f>VLOOKUP(A137,A$1:$L$601,1,FALSE)</f>
        <v>1140</v>
      </c>
      <c r="Z141" s="6" t="str">
        <f>VLOOKUP(B137,B$1:$L$601,1,FALSE)</f>
        <v>Dawn Smith</v>
      </c>
      <c r="AA141" s="6" t="str">
        <f>VLOOKUP(C137,C$1:$L$601,1,FALSE)</f>
        <v>Accessories</v>
      </c>
      <c r="AB141" s="6" t="str">
        <f>VLOOKUP(D137,D$1:$L$601,1,FALSE)</f>
        <v>Belts</v>
      </c>
      <c r="AC141" s="6">
        <f>VLOOKUP(E137,E$1:$L$601,1,FALSE)</f>
        <v>4</v>
      </c>
      <c r="AD141" s="6">
        <f>VLOOKUP(F137,F$1:$L$601,1,FALSE)</f>
        <v>2706.1301960784322</v>
      </c>
      <c r="AE141" s="6">
        <f>VLOOKUP(G137,G$1:$L$601,1,FALSE)</f>
        <v>0.70297297297297334</v>
      </c>
      <c r="AF141" s="6">
        <f>VLOOKUP(H137,H$1:$L$601,1,FALSE)</f>
        <v>0</v>
      </c>
      <c r="AG141" s="6">
        <f>VLOOKUP(I137,I$1:$L$601,1,FALSE)</f>
        <v>45517</v>
      </c>
      <c r="AH141" s="6" t="str">
        <f>VLOOKUP(J137,J$1:$L$601,1,FALSE)</f>
        <v>HYDERBAD</v>
      </c>
      <c r="AI141" s="6" t="str">
        <f>VLOOKUP(K137,K$1:$L$601,1,FALSE)</f>
        <v>B2B</v>
      </c>
      <c r="AJ141" s="6">
        <f>VLOOKUP(L137,L$1:$L$601,1,FALSE)</f>
        <v>-127.91</v>
      </c>
    </row>
    <row r="142" spans="1:36" x14ac:dyDescent="0.25">
      <c r="A142">
        <v>1145</v>
      </c>
      <c r="B142" t="s">
        <v>192</v>
      </c>
      <c r="C142" t="s">
        <v>36</v>
      </c>
      <c r="D142" t="s">
        <v>81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33</v>
      </c>
      <c r="K142" t="s">
        <v>24</v>
      </c>
      <c r="L142" s="2">
        <v>-171.58</v>
      </c>
      <c r="Y142" s="6">
        <f>VLOOKUP(A138,A$1:$L$601,1,FALSE)</f>
        <v>1141</v>
      </c>
      <c r="Z142" s="6" t="str">
        <f>VLOOKUP(B138,B$1:$L$601,1,FALSE)</f>
        <v>Sarah Pacheco</v>
      </c>
      <c r="AA142" s="6" t="str">
        <f>VLOOKUP(C138,C$1:$L$601,1,FALSE)</f>
        <v>T-Shirts</v>
      </c>
      <c r="AB142" s="6" t="str">
        <f>VLOOKUP(D138,D$1:$L$601,1,FALSE)</f>
        <v>Graphic Tee</v>
      </c>
      <c r="AC142" s="6">
        <f>VLOOKUP(E138,E$1:$L$601,1,FALSE)</f>
        <v>1.5178571428571428</v>
      </c>
      <c r="AD142" s="6">
        <f>VLOOKUP(F138,F$1:$L$601,1,FALSE)</f>
        <v>2742.2927659574466</v>
      </c>
      <c r="AE142" s="6">
        <f>VLOOKUP(G138,G$1:$L$601,1,FALSE)</f>
        <v>1.15E-2</v>
      </c>
      <c r="AF142" s="6">
        <f>VLOOKUP(H138,H$1:$L$601,1,FALSE)</f>
        <v>0</v>
      </c>
      <c r="AG142" s="6">
        <f>VLOOKUP(I138,I$1:$L$601,1,FALSE)</f>
        <v>45401</v>
      </c>
      <c r="AH142" s="6" t="str">
        <f>VLOOKUP(J138,J$1:$L$601,1,FALSE)</f>
        <v>DELHI</v>
      </c>
      <c r="AI142" s="6" t="str">
        <f>VLOOKUP(K138,K$1:$L$601,1,FALSE)</f>
        <v>B2C</v>
      </c>
      <c r="AJ142" s="6">
        <f>VLOOKUP(L138,L$1:$L$601,1,FALSE)</f>
        <v>429.67</v>
      </c>
    </row>
    <row r="143" spans="1:36" x14ac:dyDescent="0.25">
      <c r="A143">
        <v>1146</v>
      </c>
      <c r="B143" t="s">
        <v>193</v>
      </c>
      <c r="C143" t="s">
        <v>31</v>
      </c>
      <c r="D143" t="s">
        <v>32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48</v>
      </c>
      <c r="K143" t="s">
        <v>16</v>
      </c>
      <c r="L143" s="2">
        <v>-431.7</v>
      </c>
      <c r="Y143" s="6">
        <f>VLOOKUP(A139,A$1:$L$601,1,FALSE)</f>
        <v>1142</v>
      </c>
      <c r="Z143" s="6" t="str">
        <f>VLOOKUP(B139,B$1:$L$601,1,FALSE)</f>
        <v>Daniel Alvarez</v>
      </c>
      <c r="AA143" s="6" t="str">
        <f>VLOOKUP(C139,C$1:$L$601,1,FALSE)</f>
        <v>Dresses</v>
      </c>
      <c r="AB143" s="6" t="str">
        <f>VLOOKUP(D139,D$1:$L$601,1,FALSE)</f>
        <v>Bodycon</v>
      </c>
      <c r="AC143" s="6">
        <f>VLOOKUP(E139,E$1:$L$601,1,FALSE)</f>
        <v>6</v>
      </c>
      <c r="AD143" s="6">
        <f>VLOOKUP(F139,F$1:$L$601,1,FALSE)</f>
        <v>3004.58</v>
      </c>
      <c r="AE143" s="6">
        <f>VLOOKUP(G139,G$1:$L$601,1,FALSE)</f>
        <v>0.55000000000000004</v>
      </c>
      <c r="AF143" s="6">
        <f>VLOOKUP(H139,H$1:$L$601,1,FALSE)</f>
        <v>0</v>
      </c>
      <c r="AG143" s="6">
        <f>VLOOKUP(I139,I$1:$L$601,1,FALSE)</f>
        <v>45344</v>
      </c>
      <c r="AH143" s="6" t="str">
        <f>VLOOKUP(J139,J$1:$L$601,1,FALSE)</f>
        <v>HYDERBAD</v>
      </c>
      <c r="AI143" s="6" t="str">
        <f>VLOOKUP(K139,K$1:$L$601,1,FALSE)</f>
        <v>B2C</v>
      </c>
      <c r="AJ143" s="6">
        <f>VLOOKUP(L139,L$1:$L$601,1,FALSE)</f>
        <v>-509.67</v>
      </c>
    </row>
    <row r="144" spans="1:36" x14ac:dyDescent="0.25">
      <c r="A144">
        <v>1147</v>
      </c>
      <c r="B144" t="s">
        <v>194</v>
      </c>
      <c r="C144" t="s">
        <v>41</v>
      </c>
      <c r="D144" t="s">
        <v>42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24</v>
      </c>
      <c r="L144" s="2">
        <v>-794.99</v>
      </c>
      <c r="Y144" s="6">
        <f>VLOOKUP(A140,A$1:$L$601,1,FALSE)</f>
        <v>1143</v>
      </c>
      <c r="Z144" s="6" t="str">
        <f>VLOOKUP(B140,B$1:$L$601,1,FALSE)</f>
        <v>Bernard Ramirez</v>
      </c>
      <c r="AA144" s="6" t="str">
        <f>VLOOKUP(C140,C$1:$L$601,1,FALSE)</f>
        <v>Jackets</v>
      </c>
      <c r="AB144" s="6" t="str">
        <f>VLOOKUP(D140,D$1:$L$601,1,FALSE)</f>
        <v>Denim Jacket</v>
      </c>
      <c r="AC144" s="6">
        <f>VLOOKUP(E140,E$1:$L$601,1,FALSE)</f>
        <v>1.8076923076923077</v>
      </c>
      <c r="AD144" s="6">
        <f>VLOOKUP(F140,F$1:$L$601,1,FALSE)</f>
        <v>2811.5702272727276</v>
      </c>
      <c r="AE144" s="6">
        <f>VLOOKUP(G140,G$1:$L$601,1,FALSE)</f>
        <v>0.69969696969696993</v>
      </c>
      <c r="AF144" s="6">
        <f>VLOOKUP(H140,H$1:$L$601,1,FALSE)</f>
        <v>0</v>
      </c>
      <c r="AG144" s="6">
        <f>VLOOKUP(I140,I$1:$L$601,1,FALSE)</f>
        <v>45782</v>
      </c>
      <c r="AH144" s="6" t="str">
        <f>VLOOKUP(J140,J$1:$L$601,1,FALSE)</f>
        <v>BANGALORE</v>
      </c>
      <c r="AI144" s="6" t="str">
        <f>VLOOKUP(K140,K$1:$L$601,1,FALSE)</f>
        <v>B2C</v>
      </c>
      <c r="AJ144" s="6">
        <f>VLOOKUP(L140,L$1:$L$601,1,FALSE)</f>
        <v>816.49</v>
      </c>
    </row>
    <row r="145" spans="1:36" x14ac:dyDescent="0.25">
      <c r="A145">
        <v>1148</v>
      </c>
      <c r="B145" t="s">
        <v>195</v>
      </c>
      <c r="C145" t="s">
        <v>31</v>
      </c>
      <c r="D145" t="s">
        <v>32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23</v>
      </c>
      <c r="K145" t="s">
        <v>16</v>
      </c>
      <c r="L145" s="2">
        <v>2247.9</v>
      </c>
      <c r="Y145" s="6">
        <f>VLOOKUP(A141,A$1:$L$601,1,FALSE)</f>
        <v>1144</v>
      </c>
      <c r="Z145" s="6" t="str">
        <f>VLOOKUP(B141,B$1:$L$601,1,FALSE)</f>
        <v>Mrs. Julia Ramirez</v>
      </c>
      <c r="AA145" s="6" t="str">
        <f>VLOOKUP(C141,C$1:$L$601,1,FALSE)</f>
        <v>Jeans</v>
      </c>
      <c r="AB145" s="6" t="str">
        <f>VLOOKUP(D141,D$1:$L$601,1,FALSE)</f>
        <v>Slim Fit Jeans</v>
      </c>
      <c r="AC145" s="6">
        <f>VLOOKUP(E141,E$1:$L$601,1,FALSE)</f>
        <v>2.1052631578947367</v>
      </c>
      <c r="AD145" s="6">
        <f>VLOOKUP(F141,F$1:$L$601,1,FALSE)</f>
        <v>2676.4254237288142</v>
      </c>
      <c r="AE145" s="6">
        <f>VLOOKUP(G141,G$1:$L$601,1,FALSE)</f>
        <v>0.19</v>
      </c>
      <c r="AF145" s="6">
        <f>VLOOKUP(H141,H$1:$L$601,1,FALSE)</f>
        <v>0</v>
      </c>
      <c r="AG145" s="6">
        <f>VLOOKUP(I141,I$1:$L$601,1,FALSE)</f>
        <v>45626.838268792708</v>
      </c>
      <c r="AH145" s="6" t="str">
        <f>VLOOKUP(J141,J$1:$L$601,1,FALSE)</f>
        <v>MUMBAI</v>
      </c>
      <c r="AI145" s="6" t="str">
        <f>VLOOKUP(K141,K$1:$L$601,1,FALSE)</f>
        <v>B2C</v>
      </c>
      <c r="AJ145" s="6">
        <f>VLOOKUP(L141,L$1:$L$601,1,FALSE)</f>
        <v>2966.21</v>
      </c>
    </row>
    <row r="146" spans="1:36" x14ac:dyDescent="0.25">
      <c r="A146">
        <v>1149</v>
      </c>
      <c r="B146" t="s">
        <v>196</v>
      </c>
      <c r="C146" t="s">
        <v>41</v>
      </c>
      <c r="D146" t="s">
        <v>90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33</v>
      </c>
      <c r="K146" t="s">
        <v>24</v>
      </c>
      <c r="L146" s="2">
        <v>562.69000000000005</v>
      </c>
      <c r="Y146" s="6">
        <f>VLOOKUP(A142,A$1:$L$601,1,FALSE)</f>
        <v>1145</v>
      </c>
      <c r="Z146" s="6" t="str">
        <f>VLOOKUP(B142,B$1:$L$601,1,FALSE)</f>
        <v>Jorge Anderson</v>
      </c>
      <c r="AA146" s="6" t="str">
        <f>VLOOKUP(C142,C$1:$L$601,1,FALSE)</f>
        <v>T-Shirts</v>
      </c>
      <c r="AB146" s="6" t="str">
        <f>VLOOKUP(D142,D$1:$L$601,1,FALSE)</f>
        <v>Graphic Tee</v>
      </c>
      <c r="AC146" s="6">
        <f>VLOOKUP(E142,E$1:$L$601,1,FALSE)</f>
        <v>1.5178571428571428</v>
      </c>
      <c r="AD146" s="6">
        <f>VLOOKUP(F142,F$1:$L$601,1,FALSE)</f>
        <v>3607.9</v>
      </c>
      <c r="AE146" s="6">
        <f>VLOOKUP(G142,G$1:$L$601,1,FALSE)</f>
        <v>0.94</v>
      </c>
      <c r="AF146" s="6">
        <f>VLOOKUP(H142,H$1:$L$601,1,FALSE)</f>
        <v>-432.95</v>
      </c>
      <c r="AG146" s="6">
        <f>VLOOKUP(I142,I$1:$L$601,1,FALSE)</f>
        <v>45602</v>
      </c>
      <c r="AH146" s="6" t="str">
        <f>VLOOKUP(J142,J$1:$L$601,1,FALSE)</f>
        <v>HYDERBAD</v>
      </c>
      <c r="AI146" s="6" t="str">
        <f>VLOOKUP(K142,K$1:$L$601,1,FALSE)</f>
        <v>B2B</v>
      </c>
      <c r="AJ146" s="6">
        <f>VLOOKUP(L142,L$1:$L$601,1,FALSE)</f>
        <v>-171.58</v>
      </c>
    </row>
    <row r="147" spans="1:36" x14ac:dyDescent="0.25">
      <c r="A147">
        <v>1150</v>
      </c>
      <c r="B147" t="s">
        <v>197</v>
      </c>
      <c r="C147" t="s">
        <v>31</v>
      </c>
      <c r="D147" t="s">
        <v>44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19</v>
      </c>
      <c r="K147" t="s">
        <v>16</v>
      </c>
      <c r="L147" s="2">
        <v>457.65</v>
      </c>
      <c r="Y147" s="6">
        <f>VLOOKUP(A143,A$1:$L$601,1,FALSE)</f>
        <v>1146</v>
      </c>
      <c r="Z147" s="6" t="str">
        <f>VLOOKUP(B143,B$1:$L$601,1,FALSE)</f>
        <v>Jacqueline Jenkins</v>
      </c>
      <c r="AA147" s="6" t="str">
        <f>VLOOKUP(C143,C$1:$L$601,1,FALSE)</f>
        <v>Accessories</v>
      </c>
      <c r="AB147" s="6" t="str">
        <f>VLOOKUP(D143,D$1:$L$601,1,FALSE)</f>
        <v>Belts</v>
      </c>
      <c r="AC147" s="6">
        <f>VLOOKUP(E143,E$1:$L$601,1,FALSE)</f>
        <v>2.4893617021276597</v>
      </c>
      <c r="AD147" s="6">
        <f>VLOOKUP(F143,F$1:$L$601,1,FALSE)</f>
        <v>2706.1301960784322</v>
      </c>
      <c r="AE147" s="6">
        <f>VLOOKUP(G143,G$1:$L$601,1,FALSE)</f>
        <v>1.09E-2</v>
      </c>
      <c r="AF147" s="6">
        <f>VLOOKUP(H143,H$1:$L$601,1,FALSE)</f>
        <v>0</v>
      </c>
      <c r="AG147" s="6">
        <f>VLOOKUP(I143,I$1:$L$601,1,FALSE)</f>
        <v>45719</v>
      </c>
      <c r="AH147" s="6" t="str">
        <f>VLOOKUP(J143,J$1:$L$601,1,FALSE)</f>
        <v>PUNE</v>
      </c>
      <c r="AI147" s="6" t="str">
        <f>VLOOKUP(K143,K$1:$L$601,1,FALSE)</f>
        <v>B2C</v>
      </c>
      <c r="AJ147" s="6">
        <f>VLOOKUP(L143,L$1:$L$601,1,FALSE)</f>
        <v>-431.7</v>
      </c>
    </row>
    <row r="148" spans="1:36" x14ac:dyDescent="0.25">
      <c r="A148">
        <v>1151</v>
      </c>
      <c r="B148" t="s">
        <v>198</v>
      </c>
      <c r="C148" t="s">
        <v>13</v>
      </c>
      <c r="D148" t="s">
        <v>51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48</v>
      </c>
      <c r="K148" t="s">
        <v>16</v>
      </c>
      <c r="L148" s="2">
        <v>-655.45</v>
      </c>
      <c r="Y148" s="6">
        <f>VLOOKUP(A144,A$1:$L$601,1,FALSE)</f>
        <v>1147</v>
      </c>
      <c r="Z148" s="6" t="str">
        <f>VLOOKUP(B144,B$1:$L$601,1,FALSE)</f>
        <v>Tracy Miller</v>
      </c>
      <c r="AA148" s="6" t="str">
        <f>VLOOKUP(C144,C$1:$L$601,1,FALSE)</f>
        <v>Dresses</v>
      </c>
      <c r="AB148" s="6" t="str">
        <f>VLOOKUP(D144,D$1:$L$601,1,FALSE)</f>
        <v>Casual Midi</v>
      </c>
      <c r="AC148" s="6">
        <f>VLOOKUP(E144,E$1:$L$601,1,FALSE)</f>
        <v>2.1864406779661016</v>
      </c>
      <c r="AD148" s="6">
        <f>VLOOKUP(F144,F$1:$L$601,1,FALSE)</f>
        <v>2875.46</v>
      </c>
      <c r="AE148" s="6">
        <f>VLOOKUP(G144,G$1:$L$601,1,FALSE)</f>
        <v>0.55000000000000004</v>
      </c>
      <c r="AF148" s="6">
        <f>VLOOKUP(H144,H$1:$L$601,1,FALSE)</f>
        <v>0</v>
      </c>
      <c r="AG148" s="6">
        <f>VLOOKUP(I144,I$1:$L$601,1,FALSE)</f>
        <v>45632</v>
      </c>
      <c r="AH148" s="6" t="str">
        <f>VLOOKUP(J144,J$1:$L$601,1,FALSE)</f>
        <v>DELHI</v>
      </c>
      <c r="AI148" s="6" t="str">
        <f>VLOOKUP(K144,K$1:$L$601,1,FALSE)</f>
        <v>B2B</v>
      </c>
      <c r="AJ148" s="6">
        <f>VLOOKUP(L144,L$1:$L$601,1,FALSE)</f>
        <v>-794.99</v>
      </c>
    </row>
    <row r="149" spans="1:36" x14ac:dyDescent="0.25">
      <c r="A149">
        <v>1152</v>
      </c>
      <c r="B149" t="s">
        <v>199</v>
      </c>
      <c r="C149" t="s">
        <v>27</v>
      </c>
      <c r="D149" t="s">
        <v>65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48</v>
      </c>
      <c r="K149" t="s">
        <v>16</v>
      </c>
      <c r="L149" s="2">
        <v>454.45</v>
      </c>
      <c r="Y149" s="6">
        <f>VLOOKUP(A145,A$1:$L$601,1,FALSE)</f>
        <v>1148</v>
      </c>
      <c r="Z149" s="6" t="str">
        <f>VLOOKUP(B145,B$1:$L$601,1,FALSE)</f>
        <v>Travis Lopez</v>
      </c>
      <c r="AA149" s="6" t="str">
        <f>VLOOKUP(C145,C$1:$L$601,1,FALSE)</f>
        <v>Accessories</v>
      </c>
      <c r="AB149" s="6" t="str">
        <f>VLOOKUP(D145,D$1:$L$601,1,FALSE)</f>
        <v>Belts</v>
      </c>
      <c r="AC149" s="6">
        <f>VLOOKUP(E145,E$1:$L$601,1,FALSE)</f>
        <v>2.4893617021276597</v>
      </c>
      <c r="AD149" s="6">
        <f>VLOOKUP(F145,F$1:$L$601,1,FALSE)</f>
        <v>2471.48</v>
      </c>
      <c r="AE149" s="6">
        <f>VLOOKUP(G145,G$1:$L$601,1,FALSE)</f>
        <v>1.11E-2</v>
      </c>
      <c r="AF149" s="6">
        <f>VLOOKUP(H145,H$1:$L$601,1,FALSE)</f>
        <v>0</v>
      </c>
      <c r="AG149" s="6">
        <f>VLOOKUP(I145,I$1:$L$601,1,FALSE)</f>
        <v>45680</v>
      </c>
      <c r="AH149" s="6" t="str">
        <f>VLOOKUP(J145,J$1:$L$601,1,FALSE)</f>
        <v>MUMBAI</v>
      </c>
      <c r="AI149" s="6" t="str">
        <f>VLOOKUP(K145,K$1:$L$601,1,FALSE)</f>
        <v>B2C</v>
      </c>
      <c r="AJ149" s="6">
        <f>VLOOKUP(L145,L$1:$L$601,1,FALSE)</f>
        <v>2247.9</v>
      </c>
    </row>
    <row r="150" spans="1:36" x14ac:dyDescent="0.25">
      <c r="A150">
        <v>1153</v>
      </c>
      <c r="B150" t="s">
        <v>200</v>
      </c>
      <c r="C150" t="s">
        <v>31</v>
      </c>
      <c r="D150" t="s">
        <v>32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24</v>
      </c>
      <c r="L150" s="2">
        <v>-681.2</v>
      </c>
      <c r="Y150" s="6">
        <f>VLOOKUP(A146,A$1:$L$601,1,FALSE)</f>
        <v>1149</v>
      </c>
      <c r="Z150" s="6" t="str">
        <f>VLOOKUP(B146,B$1:$L$601,1,FALSE)</f>
        <v>Steven Ortiz</v>
      </c>
      <c r="AA150" s="6" t="str">
        <f>VLOOKUP(C146,C$1:$L$601,1,FALSE)</f>
        <v>Dresses</v>
      </c>
      <c r="AB150" s="6" t="str">
        <f>VLOOKUP(D146,D$1:$L$601,1,FALSE)</f>
        <v>Bodycon</v>
      </c>
      <c r="AC150" s="6">
        <f>VLOOKUP(E146,E$1:$L$601,1,FALSE)</f>
        <v>2</v>
      </c>
      <c r="AD150" s="6">
        <f>VLOOKUP(F146,F$1:$L$601,1,FALSE)</f>
        <v>2949.9901960784309</v>
      </c>
      <c r="AE150" s="6">
        <f>VLOOKUP(G146,G$1:$L$601,1,FALSE)</f>
        <v>0.55000000000000004</v>
      </c>
      <c r="AF150" s="6">
        <f>VLOOKUP(H146,H$1:$L$601,1,FALSE)</f>
        <v>0</v>
      </c>
      <c r="AG150" s="6">
        <f>VLOOKUP(I146,I$1:$L$601,1,FALSE)</f>
        <v>45570</v>
      </c>
      <c r="AH150" s="6" t="str">
        <f>VLOOKUP(J146,J$1:$L$601,1,FALSE)</f>
        <v>HYDERBAD</v>
      </c>
      <c r="AI150" s="6" t="str">
        <f>VLOOKUP(K146,K$1:$L$601,1,FALSE)</f>
        <v>B2B</v>
      </c>
      <c r="AJ150" s="6">
        <f>VLOOKUP(L146,L$1:$L$601,1,FALSE)</f>
        <v>562.69000000000005</v>
      </c>
    </row>
    <row r="151" spans="1:36" x14ac:dyDescent="0.25">
      <c r="A151">
        <v>1154</v>
      </c>
      <c r="B151" t="s">
        <v>201</v>
      </c>
      <c r="C151" t="s">
        <v>31</v>
      </c>
      <c r="D151" t="s">
        <v>119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29</v>
      </c>
      <c r="K151" t="s">
        <v>16</v>
      </c>
      <c r="L151" s="2">
        <v>52.85</v>
      </c>
      <c r="Y151" s="6">
        <f>VLOOKUP(A147,A$1:$L$601,1,FALSE)</f>
        <v>1150</v>
      </c>
      <c r="Z151" s="6" t="str">
        <f>VLOOKUP(B147,B$1:$L$601,1,FALSE)</f>
        <v>Brittany Robinson</v>
      </c>
      <c r="AA151" s="6" t="str">
        <f>VLOOKUP(C147,C$1:$L$601,1,FALSE)</f>
        <v>Accessories</v>
      </c>
      <c r="AB151" s="6" t="str">
        <f>VLOOKUP(D147,D$1:$L$601,1,FALSE)</f>
        <v>Sunglasses</v>
      </c>
      <c r="AC151" s="6">
        <f>VLOOKUP(E147,E$1:$L$601,1,FALSE)</f>
        <v>2.4893617021276597</v>
      </c>
      <c r="AD151" s="6">
        <f>VLOOKUP(F147,F$1:$L$601,1,FALSE)</f>
        <v>1554.9</v>
      </c>
      <c r="AE151" s="6">
        <f>VLOOKUP(G147,G$1:$L$601,1,FALSE)</f>
        <v>0.70297297297297334</v>
      </c>
      <c r="AF151" s="6">
        <f>VLOOKUP(H147,H$1:$L$601,1,FALSE)</f>
        <v>0</v>
      </c>
      <c r="AG151" s="6">
        <f>VLOOKUP(I147,I$1:$L$601,1,FALSE)</f>
        <v>45582</v>
      </c>
      <c r="AH151" s="6" t="str">
        <f>VLOOKUP(J147,J$1:$L$601,1,FALSE)</f>
        <v>AHMEDABAD</v>
      </c>
      <c r="AI151" s="6" t="str">
        <f>VLOOKUP(K147,K$1:$L$601,1,FALSE)</f>
        <v>B2C</v>
      </c>
      <c r="AJ151" s="6">
        <f>VLOOKUP(L147,L$1:$L$601,1,FALSE)</f>
        <v>457.65</v>
      </c>
    </row>
    <row r="152" spans="1:36" x14ac:dyDescent="0.25">
      <c r="A152">
        <v>1155</v>
      </c>
      <c r="B152" t="s">
        <v>202</v>
      </c>
      <c r="C152" t="s">
        <v>27</v>
      </c>
      <c r="D152" t="s">
        <v>65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23</v>
      </c>
      <c r="K152" t="s">
        <v>16</v>
      </c>
      <c r="L152" s="2">
        <v>2493.12</v>
      </c>
      <c r="Y152" s="6">
        <f>VLOOKUP(A148,A$1:$L$601,1,FALSE)</f>
        <v>1151</v>
      </c>
      <c r="Z152" s="6" t="str">
        <f>VLOOKUP(B148,B$1:$L$601,1,FALSE)</f>
        <v>Joseph Allen</v>
      </c>
      <c r="AA152" s="6" t="str">
        <f>VLOOKUP(C148,C$1:$L$601,1,FALSE)</f>
        <v>Jeans</v>
      </c>
      <c r="AB152" s="6" t="str">
        <f>VLOOKUP(D148,D$1:$L$601,1,FALSE)</f>
        <v>Straight Cut</v>
      </c>
      <c r="AC152" s="6">
        <f>VLOOKUP(E148,E$1:$L$601,1,FALSE)</f>
        <v>4</v>
      </c>
      <c r="AD152" s="6">
        <f>VLOOKUP(F148,F$1:$L$601,1,FALSE)</f>
        <v>2266.44</v>
      </c>
      <c r="AE152" s="6">
        <f>VLOOKUP(G148,G$1:$L$601,1,FALSE)</f>
        <v>0.33</v>
      </c>
      <c r="AF152" s="6">
        <f>VLOOKUP(H148,H$1:$L$601,1,FALSE)</f>
        <v>6074.06</v>
      </c>
      <c r="AG152" s="6">
        <f>VLOOKUP(I148,I$1:$L$601,1,FALSE)</f>
        <v>45855</v>
      </c>
      <c r="AH152" s="6" t="str">
        <f>VLOOKUP(J148,J$1:$L$601,1,FALSE)</f>
        <v>PUNE</v>
      </c>
      <c r="AI152" s="6" t="str">
        <f>VLOOKUP(K148,K$1:$L$601,1,FALSE)</f>
        <v>B2C</v>
      </c>
      <c r="AJ152" s="6">
        <f>VLOOKUP(L148,L$1:$L$601,1,FALSE)</f>
        <v>-655.45</v>
      </c>
    </row>
    <row r="153" spans="1:36" x14ac:dyDescent="0.25">
      <c r="A153">
        <v>1156</v>
      </c>
      <c r="B153" t="s">
        <v>203</v>
      </c>
      <c r="C153" t="s">
        <v>41</v>
      </c>
      <c r="D153" t="s">
        <v>63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  <c r="Y153" s="6">
        <f>VLOOKUP(A149,A$1:$L$601,1,FALSE)</f>
        <v>1152</v>
      </c>
      <c r="Z153" s="6" t="str">
        <f>VLOOKUP(B149,B$1:$L$601,1,FALSE)</f>
        <v>Matthew Deleon</v>
      </c>
      <c r="AA153" s="6" t="str">
        <f>VLOOKUP(C149,C$1:$L$601,1,FALSE)</f>
        <v>Shoes</v>
      </c>
      <c r="AB153" s="6" t="str">
        <f>VLOOKUP(D149,D$1:$L$601,1,FALSE)</f>
        <v>Slip-Ons</v>
      </c>
      <c r="AC153" s="6">
        <f>VLOOKUP(E149,E$1:$L$601,1,FALSE)</f>
        <v>1</v>
      </c>
      <c r="AD153" s="6">
        <f>VLOOKUP(F149,F$1:$L$601,1,FALSE)</f>
        <v>2557.4251351351354</v>
      </c>
      <c r="AE153" s="6">
        <f>VLOOKUP(G149,G$1:$L$601,1,FALSE)</f>
        <v>1.26E-2</v>
      </c>
      <c r="AF153" s="6">
        <f>VLOOKUP(H149,H$1:$L$601,1,FALSE)</f>
        <v>0</v>
      </c>
      <c r="AG153" s="6">
        <f>VLOOKUP(I149,I$1:$L$601,1,FALSE)</f>
        <v>45599</v>
      </c>
      <c r="AH153" s="6" t="str">
        <f>VLOOKUP(J149,J$1:$L$601,1,FALSE)</f>
        <v>PUNE</v>
      </c>
      <c r="AI153" s="6" t="str">
        <f>VLOOKUP(K149,K$1:$L$601,1,FALSE)</f>
        <v>B2C</v>
      </c>
      <c r="AJ153" s="6">
        <f>VLOOKUP(L149,L$1:$L$601,1,FALSE)</f>
        <v>454.45</v>
      </c>
    </row>
    <row r="154" spans="1:36" x14ac:dyDescent="0.25">
      <c r="A154">
        <v>1157</v>
      </c>
      <c r="B154" t="s">
        <v>204</v>
      </c>
      <c r="C154" t="s">
        <v>13</v>
      </c>
      <c r="D154" t="s">
        <v>101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19</v>
      </c>
      <c r="K154" t="s">
        <v>16</v>
      </c>
      <c r="L154" s="2">
        <v>2724.92</v>
      </c>
      <c r="Y154" s="6">
        <f>VLOOKUP(A150,A$1:$L$601,1,FALSE)</f>
        <v>1153</v>
      </c>
      <c r="Z154" s="6" t="str">
        <f>VLOOKUP(B150,B$1:$L$601,1,FALSE)</f>
        <v>Julia Evans</v>
      </c>
      <c r="AA154" s="6" t="str">
        <f>VLOOKUP(C150,C$1:$L$601,1,FALSE)</f>
        <v>Accessories</v>
      </c>
      <c r="AB154" s="6" t="str">
        <f>VLOOKUP(D150,D$1:$L$601,1,FALSE)</f>
        <v>Belts</v>
      </c>
      <c r="AC154" s="6">
        <f>VLOOKUP(E150,E$1:$L$601,1,FALSE)</f>
        <v>1</v>
      </c>
      <c r="AD154" s="6">
        <f>VLOOKUP(F150,F$1:$L$601,1,FALSE)</f>
        <v>478.59</v>
      </c>
      <c r="AE154" s="6">
        <f>VLOOKUP(G150,G$1:$L$601,1,FALSE)</f>
        <v>0.70297297297297334</v>
      </c>
      <c r="AF154" s="6">
        <f>VLOOKUP(H150,H$1:$L$601,1,FALSE)</f>
        <v>0</v>
      </c>
      <c r="AG154" s="6">
        <f>VLOOKUP(I150,I$1:$L$601,1,FALSE)</f>
        <v>45641</v>
      </c>
      <c r="AH154" s="6" t="str">
        <f>VLOOKUP(J150,J$1:$L$601,1,FALSE)</f>
        <v>DELHI</v>
      </c>
      <c r="AI154" s="6" t="str">
        <f>VLOOKUP(K150,K$1:$L$601,1,FALSE)</f>
        <v>B2B</v>
      </c>
      <c r="AJ154" s="6">
        <f>VLOOKUP(L150,L$1:$L$601,1,FALSE)</f>
        <v>-681.2</v>
      </c>
    </row>
    <row r="155" spans="1:36" x14ac:dyDescent="0.25">
      <c r="A155">
        <v>1158</v>
      </c>
      <c r="B155" t="s">
        <v>205</v>
      </c>
      <c r="C155" t="s">
        <v>41</v>
      </c>
      <c r="D155" t="s">
        <v>63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24</v>
      </c>
      <c r="L155" s="2">
        <v>2164.9499999999998</v>
      </c>
      <c r="Y155" s="6">
        <f>VLOOKUP(A151,A$1:$L$601,1,FALSE)</f>
        <v>1154</v>
      </c>
      <c r="Z155" s="6" t="str">
        <f>VLOOKUP(B151,B$1:$L$601,1,FALSE)</f>
        <v>Robert Parks</v>
      </c>
      <c r="AA155" s="6" t="str">
        <f>VLOOKUP(C151,C$1:$L$601,1,FALSE)</f>
        <v>Accessories</v>
      </c>
      <c r="AB155" s="6" t="str">
        <f>VLOOKUP(D151,D$1:$L$601,1,FALSE)</f>
        <v>Watches</v>
      </c>
      <c r="AC155" s="6">
        <f>VLOOKUP(E151,E$1:$L$601,1,FALSE)</f>
        <v>2.4893617021276597</v>
      </c>
      <c r="AD155" s="6">
        <f>VLOOKUP(F151,F$1:$L$601,1,FALSE)</f>
        <v>2706.1301960784322</v>
      </c>
      <c r="AE155" s="6">
        <f>VLOOKUP(G151,G$1:$L$601,1,FALSE)</f>
        <v>0.70297297297297334</v>
      </c>
      <c r="AF155" s="6">
        <f>VLOOKUP(H151,H$1:$L$601,1,FALSE)</f>
        <v>0</v>
      </c>
      <c r="AG155" s="6">
        <f>VLOOKUP(I151,I$1:$L$601,1,FALSE)</f>
        <v>45575</v>
      </c>
      <c r="AH155" s="6" t="str">
        <f>VLOOKUP(J151,J$1:$L$601,1,FALSE)</f>
        <v>BANGALORE</v>
      </c>
      <c r="AI155" s="6" t="str">
        <f>VLOOKUP(K151,K$1:$L$601,1,FALSE)</f>
        <v>B2C</v>
      </c>
      <c r="AJ155" s="6">
        <f>VLOOKUP(L151,L$1:$L$601,1,FALSE)</f>
        <v>52.85</v>
      </c>
    </row>
    <row r="156" spans="1:36" x14ac:dyDescent="0.25">
      <c r="A156">
        <v>1159</v>
      </c>
      <c r="B156" t="s">
        <v>206</v>
      </c>
      <c r="C156" t="s">
        <v>27</v>
      </c>
      <c r="D156" t="s">
        <v>55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19</v>
      </c>
      <c r="K156" t="s">
        <v>16</v>
      </c>
      <c r="L156" s="2">
        <v>235.11</v>
      </c>
      <c r="Y156" s="6">
        <f>VLOOKUP(A152,A$1:$L$601,1,FALSE)</f>
        <v>1155</v>
      </c>
      <c r="Z156" s="6" t="str">
        <f>VLOOKUP(B152,B$1:$L$601,1,FALSE)</f>
        <v>Sean Small</v>
      </c>
      <c r="AA156" s="6" t="str">
        <f>VLOOKUP(C152,C$1:$L$601,1,FALSE)</f>
        <v>Shoes</v>
      </c>
      <c r="AB156" s="6" t="str">
        <f>VLOOKUP(D152,D$1:$L$601,1,FALSE)</f>
        <v>Slip-Ons</v>
      </c>
      <c r="AC156" s="6">
        <f>VLOOKUP(E152,E$1:$L$601,1,FALSE)</f>
        <v>1.6216216216216217</v>
      </c>
      <c r="AD156" s="6">
        <f>VLOOKUP(F152,F$1:$L$601,1,FALSE)</f>
        <v>2557.4251351351354</v>
      </c>
      <c r="AE156" s="6">
        <f>VLOOKUP(G152,G$1:$L$601,1,FALSE)</f>
        <v>0.64</v>
      </c>
      <c r="AF156" s="6">
        <f>VLOOKUP(H152,H$1:$L$601,1,FALSE)</f>
        <v>0</v>
      </c>
      <c r="AG156" s="6">
        <f>VLOOKUP(I152,I$1:$L$601,1,FALSE)</f>
        <v>45604</v>
      </c>
      <c r="AH156" s="6" t="str">
        <f>VLOOKUP(J152,J$1:$L$601,1,FALSE)</f>
        <v>MUMBAI</v>
      </c>
      <c r="AI156" s="6" t="str">
        <f>VLOOKUP(K152,K$1:$L$601,1,FALSE)</f>
        <v>B2C</v>
      </c>
      <c r="AJ156" s="6">
        <f>VLOOKUP(L152,L$1:$L$601,1,FALSE)</f>
        <v>2493.12</v>
      </c>
    </row>
    <row r="157" spans="1:36" x14ac:dyDescent="0.25">
      <c r="A157">
        <v>1160</v>
      </c>
      <c r="B157" t="s">
        <v>207</v>
      </c>
      <c r="C157" t="s">
        <v>41</v>
      </c>
      <c r="D157" t="s">
        <v>42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33</v>
      </c>
      <c r="K157" t="s">
        <v>16</v>
      </c>
      <c r="L157" s="2">
        <v>-711.19</v>
      </c>
      <c r="Y157" s="6">
        <f>VLOOKUP(A153,A$1:$L$601,1,FALSE)</f>
        <v>1156</v>
      </c>
      <c r="Z157" s="6" t="str">
        <f>VLOOKUP(B153,B$1:$L$601,1,FALSE)</f>
        <v>Jacob Moore</v>
      </c>
      <c r="AA157" s="6" t="str">
        <f>VLOOKUP(C153,C$1:$L$601,1,FALSE)</f>
        <v>Dresses</v>
      </c>
      <c r="AB157" s="6" t="str">
        <f>VLOOKUP(D153,D$1:$L$601,1,FALSE)</f>
        <v>Wrap Dress</v>
      </c>
      <c r="AC157" s="6">
        <f>VLOOKUP(E153,E$1:$L$601,1,FALSE)</f>
        <v>3</v>
      </c>
      <c r="AD157" s="6">
        <f>VLOOKUP(F153,F$1:$L$601,1,FALSE)</f>
        <v>2949.9901960784309</v>
      </c>
      <c r="AE157" s="6">
        <f>VLOOKUP(G153,G$1:$L$601,1,FALSE)</f>
        <v>0.93</v>
      </c>
      <c r="AF157" s="6">
        <f>VLOOKUP(H153,H$1:$L$601,1,FALSE)</f>
        <v>0</v>
      </c>
      <c r="AG157" s="6">
        <f>VLOOKUP(I153,I$1:$L$601,1,FALSE)</f>
        <v>45626.838268792708</v>
      </c>
      <c r="AH157" s="6" t="str">
        <f>VLOOKUP(J153,J$1:$L$601,1,FALSE)</f>
        <v>DELHI</v>
      </c>
      <c r="AI157" s="6" t="str">
        <f>VLOOKUP(K153,K$1:$L$601,1,FALSE)</f>
        <v>B2C</v>
      </c>
      <c r="AJ157" s="6">
        <f>VLOOKUP(L153,L$1:$L$601,1,FALSE)</f>
        <v>1699.17</v>
      </c>
    </row>
    <row r="158" spans="1:36" x14ac:dyDescent="0.25">
      <c r="A158">
        <v>1161</v>
      </c>
      <c r="B158" t="s">
        <v>208</v>
      </c>
      <c r="C158" t="s">
        <v>36</v>
      </c>
      <c r="D158" t="s">
        <v>71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23</v>
      </c>
      <c r="K158" t="s">
        <v>16</v>
      </c>
      <c r="L158" s="2">
        <v>502.86</v>
      </c>
      <c r="Y158" s="6">
        <f>VLOOKUP(A154,A$1:$L$601,1,FALSE)</f>
        <v>1157</v>
      </c>
      <c r="Z158" s="6" t="str">
        <f>VLOOKUP(B154,B$1:$L$601,1,FALSE)</f>
        <v>Dean Allen</v>
      </c>
      <c r="AA158" s="6" t="str">
        <f>VLOOKUP(C154,C$1:$L$601,1,FALSE)</f>
        <v>Jeans</v>
      </c>
      <c r="AB158" s="6" t="str">
        <f>VLOOKUP(D154,D$1:$L$601,1,FALSE)</f>
        <v>Ripped Denim</v>
      </c>
      <c r="AC158" s="6">
        <f>VLOOKUP(E154,E$1:$L$601,1,FALSE)</f>
        <v>6</v>
      </c>
      <c r="AD158" s="6">
        <f>VLOOKUP(F154,F$1:$L$601,1,FALSE)</f>
        <v>645.03</v>
      </c>
      <c r="AE158" s="6">
        <f>VLOOKUP(G154,G$1:$L$601,1,FALSE)</f>
        <v>0.58977272727272723</v>
      </c>
      <c r="AF158" s="6">
        <f>VLOOKUP(H154,H$1:$L$601,1,FALSE)</f>
        <v>0</v>
      </c>
      <c r="AG158" s="6">
        <f>VLOOKUP(I154,I$1:$L$601,1,FALSE)</f>
        <v>45833</v>
      </c>
      <c r="AH158" s="6" t="str">
        <f>VLOOKUP(J154,J$1:$L$601,1,FALSE)</f>
        <v>AHMEDABAD</v>
      </c>
      <c r="AI158" s="6" t="str">
        <f>VLOOKUP(K154,K$1:$L$601,1,FALSE)</f>
        <v>B2C</v>
      </c>
      <c r="AJ158" s="6">
        <f>VLOOKUP(L154,L$1:$L$601,1,FALSE)</f>
        <v>2724.92</v>
      </c>
    </row>
    <row r="159" spans="1:36" x14ac:dyDescent="0.25">
      <c r="A159">
        <v>1162</v>
      </c>
      <c r="B159" t="s">
        <v>209</v>
      </c>
      <c r="C159" t="s">
        <v>27</v>
      </c>
      <c r="D159" t="s">
        <v>85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23</v>
      </c>
      <c r="K159" t="s">
        <v>16</v>
      </c>
      <c r="L159" s="2">
        <v>2566.0500000000002</v>
      </c>
      <c r="Y159" s="6">
        <f>VLOOKUP(A155,A$1:$L$601,1,FALSE)</f>
        <v>1158</v>
      </c>
      <c r="Z159" s="6" t="str">
        <f>VLOOKUP(B155,B$1:$L$601,1,FALSE)</f>
        <v>Vicki Jackson</v>
      </c>
      <c r="AA159" s="6" t="str">
        <f>VLOOKUP(C155,C$1:$L$601,1,FALSE)</f>
        <v>Dresses</v>
      </c>
      <c r="AB159" s="6" t="str">
        <f>VLOOKUP(D155,D$1:$L$601,1,FALSE)</f>
        <v>Wrap Dress</v>
      </c>
      <c r="AC159" s="6">
        <f>VLOOKUP(E155,E$1:$L$601,1,FALSE)</f>
        <v>2.1864406779661016</v>
      </c>
      <c r="AD159" s="6">
        <f>VLOOKUP(F155,F$1:$L$601,1,FALSE)</f>
        <v>4516.08</v>
      </c>
      <c r="AE159" s="6">
        <f>VLOOKUP(G155,G$1:$L$601,1,FALSE)</f>
        <v>0.55000000000000004</v>
      </c>
      <c r="AF159" s="6">
        <f>VLOOKUP(H155,H$1:$L$601,1,FALSE)</f>
        <v>0</v>
      </c>
      <c r="AG159" s="6">
        <f>VLOOKUP(I155,I$1:$L$601,1,FALSE)</f>
        <v>45844</v>
      </c>
      <c r="AH159" s="6" t="str">
        <f>VLOOKUP(J155,J$1:$L$601,1,FALSE)</f>
        <v>DELHI</v>
      </c>
      <c r="AI159" s="6" t="str">
        <f>VLOOKUP(K155,K$1:$L$601,1,FALSE)</f>
        <v>B2B</v>
      </c>
      <c r="AJ159" s="6">
        <f>VLOOKUP(L155,L$1:$L$601,1,FALSE)</f>
        <v>2164.9499999999998</v>
      </c>
    </row>
    <row r="160" spans="1:36" x14ac:dyDescent="0.25">
      <c r="A160">
        <v>1163</v>
      </c>
      <c r="B160" t="s">
        <v>210</v>
      </c>
      <c r="C160" t="s">
        <v>31</v>
      </c>
      <c r="D160" t="s">
        <v>44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29</v>
      </c>
      <c r="K160" t="s">
        <v>16</v>
      </c>
      <c r="L160" s="2">
        <v>-441.46</v>
      </c>
      <c r="Y160" s="6">
        <f>VLOOKUP(A156,A$1:$L$601,1,FALSE)</f>
        <v>1159</v>
      </c>
      <c r="Z160" s="6" t="str">
        <f>VLOOKUP(B156,B$1:$L$601,1,FALSE)</f>
        <v>Robert Knox</v>
      </c>
      <c r="AA160" s="6" t="str">
        <f>VLOOKUP(C156,C$1:$L$601,1,FALSE)</f>
        <v>Shoes</v>
      </c>
      <c r="AB160" s="6" t="str">
        <f>VLOOKUP(D156,D$1:$L$601,1,FALSE)</f>
        <v>Sneakers</v>
      </c>
      <c r="AC160" s="6">
        <f>VLOOKUP(E156,E$1:$L$601,1,FALSE)</f>
        <v>1.6216216216216217</v>
      </c>
      <c r="AD160" s="6">
        <f>VLOOKUP(F156,F$1:$L$601,1,FALSE)</f>
        <v>3335.18</v>
      </c>
      <c r="AE160" s="6">
        <f>VLOOKUP(G156,G$1:$L$601,1,FALSE)</f>
        <v>0.09</v>
      </c>
      <c r="AF160" s="6">
        <f>VLOOKUP(H156,H$1:$L$601,1,FALSE)</f>
        <v>0</v>
      </c>
      <c r="AG160" s="6">
        <f>VLOOKUP(I156,I$1:$L$601,1,FALSE)</f>
        <v>45626.838268792708</v>
      </c>
      <c r="AH160" s="6" t="str">
        <f>VLOOKUP(J156,J$1:$L$601,1,FALSE)</f>
        <v>AHMEDABAD</v>
      </c>
      <c r="AI160" s="6" t="str">
        <f>VLOOKUP(K156,K$1:$L$601,1,FALSE)</f>
        <v>B2C</v>
      </c>
      <c r="AJ160" s="6">
        <f>VLOOKUP(L156,L$1:$L$601,1,FALSE)</f>
        <v>235.11</v>
      </c>
    </row>
    <row r="161" spans="1:36" x14ac:dyDescent="0.25">
      <c r="A161">
        <v>1164</v>
      </c>
      <c r="B161" t="s">
        <v>211</v>
      </c>
      <c r="C161" t="s">
        <v>31</v>
      </c>
      <c r="D161" t="s">
        <v>44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33</v>
      </c>
      <c r="K161" t="s">
        <v>24</v>
      </c>
      <c r="L161" s="2">
        <v>598.79</v>
      </c>
      <c r="Y161" s="6">
        <f>VLOOKUP(A157,A$1:$L$601,1,FALSE)</f>
        <v>1160</v>
      </c>
      <c r="Z161" s="6" t="str">
        <f>VLOOKUP(B157,B$1:$L$601,1,FALSE)</f>
        <v>Ruben Oconnell</v>
      </c>
      <c r="AA161" s="6" t="str">
        <f>VLOOKUP(C157,C$1:$L$601,1,FALSE)</f>
        <v>Dresses</v>
      </c>
      <c r="AB161" s="6" t="str">
        <f>VLOOKUP(D157,D$1:$L$601,1,FALSE)</f>
        <v>Casual Midi</v>
      </c>
      <c r="AC161" s="6">
        <f>VLOOKUP(E157,E$1:$L$601,1,FALSE)</f>
        <v>0</v>
      </c>
      <c r="AD161" s="6">
        <f>VLOOKUP(F157,F$1:$L$601,1,FALSE)</f>
        <v>2949.9901960784309</v>
      </c>
      <c r="AE161" s="6">
        <f>VLOOKUP(G157,G$1:$L$601,1,FALSE)</f>
        <v>0.77</v>
      </c>
      <c r="AF161" s="6">
        <f>VLOOKUP(H157,H$1:$L$601,1,FALSE)</f>
        <v>0</v>
      </c>
      <c r="AG161" s="6">
        <f>VLOOKUP(I157,I$1:$L$601,1,FALSE)</f>
        <v>45607</v>
      </c>
      <c r="AH161" s="6" t="str">
        <f>VLOOKUP(J157,J$1:$L$601,1,FALSE)</f>
        <v>HYDERBAD</v>
      </c>
      <c r="AI161" s="6" t="str">
        <f>VLOOKUP(K157,K$1:$L$601,1,FALSE)</f>
        <v>B2C</v>
      </c>
      <c r="AJ161" s="6">
        <f>VLOOKUP(L157,L$1:$L$601,1,FALSE)</f>
        <v>-711.19</v>
      </c>
    </row>
    <row r="162" spans="1:36" x14ac:dyDescent="0.25">
      <c r="A162">
        <v>1165</v>
      </c>
      <c r="B162" t="s">
        <v>212</v>
      </c>
      <c r="C162" t="s">
        <v>36</v>
      </c>
      <c r="D162" t="s">
        <v>71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29</v>
      </c>
      <c r="K162" t="s">
        <v>24</v>
      </c>
      <c r="L162" s="2">
        <v>-102.32</v>
      </c>
      <c r="Y162" s="6">
        <f>VLOOKUP(A158,A$1:$L$601,1,FALSE)</f>
        <v>1161</v>
      </c>
      <c r="Z162" s="6" t="str">
        <f>VLOOKUP(B158,B$1:$L$601,1,FALSE)</f>
        <v>Laura Gallegos</v>
      </c>
      <c r="AA162" s="6" t="str">
        <f>VLOOKUP(C158,C$1:$L$601,1,FALSE)</f>
        <v>T-Shirts</v>
      </c>
      <c r="AB162" s="6" t="str">
        <f>VLOOKUP(D158,D$1:$L$601,1,FALSE)</f>
        <v>Classic Tee</v>
      </c>
      <c r="AC162" s="6">
        <f>VLOOKUP(E158,E$1:$L$601,1,FALSE)</f>
        <v>1.5178571428571428</v>
      </c>
      <c r="AD162" s="6">
        <f>VLOOKUP(F158,F$1:$L$601,1,FALSE)</f>
        <v>1801.91</v>
      </c>
      <c r="AE162" s="6">
        <f>VLOOKUP(G158,G$1:$L$601,1,FALSE)</f>
        <v>0.65787878787878773</v>
      </c>
      <c r="AF162" s="6">
        <f>VLOOKUP(H158,H$1:$L$601,1,FALSE)</f>
        <v>0</v>
      </c>
      <c r="AG162" s="6">
        <f>VLOOKUP(I158,I$1:$L$601,1,FALSE)</f>
        <v>45352</v>
      </c>
      <c r="AH162" s="6" t="str">
        <f>VLOOKUP(J158,J$1:$L$601,1,FALSE)</f>
        <v>MUMBAI</v>
      </c>
      <c r="AI162" s="6" t="str">
        <f>VLOOKUP(K158,K$1:$L$601,1,FALSE)</f>
        <v>B2C</v>
      </c>
      <c r="AJ162" s="6">
        <f>VLOOKUP(L158,L$1:$L$601,1,FALSE)</f>
        <v>502.86</v>
      </c>
    </row>
    <row r="163" spans="1:36" x14ac:dyDescent="0.25">
      <c r="A163">
        <v>1166</v>
      </c>
      <c r="B163" t="s">
        <v>213</v>
      </c>
      <c r="C163" t="s">
        <v>21</v>
      </c>
      <c r="D163" t="s">
        <v>79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19</v>
      </c>
      <c r="K163" t="s">
        <v>16</v>
      </c>
      <c r="L163" s="2">
        <v>285.44</v>
      </c>
      <c r="Y163" s="6">
        <f>VLOOKUP(A159,A$1:$L$601,1,FALSE)</f>
        <v>1162</v>
      </c>
      <c r="Z163" s="6" t="str">
        <f>VLOOKUP(B159,B$1:$L$601,1,FALSE)</f>
        <v>Christopher Harvey</v>
      </c>
      <c r="AA163" s="6" t="str">
        <f>VLOOKUP(C159,C$1:$L$601,1,FALSE)</f>
        <v>Shoes</v>
      </c>
      <c r="AB163" s="6" t="str">
        <f>VLOOKUP(D159,D$1:$L$601,1,FALSE)</f>
        <v>Boots</v>
      </c>
      <c r="AC163" s="6">
        <f>VLOOKUP(E159,E$1:$L$601,1,FALSE)</f>
        <v>4</v>
      </c>
      <c r="AD163" s="6">
        <f>VLOOKUP(F159,F$1:$L$601,1,FALSE)</f>
        <v>2557.4251351351354</v>
      </c>
      <c r="AE163" s="6">
        <f>VLOOKUP(G159,G$1:$L$601,1,FALSE)</f>
        <v>0.14000000000000001</v>
      </c>
      <c r="AF163" s="6">
        <f>VLOOKUP(H159,H$1:$L$601,1,FALSE)</f>
        <v>0</v>
      </c>
      <c r="AG163" s="6">
        <f>VLOOKUP(I159,I$1:$L$601,1,FALSE)</f>
        <v>45621</v>
      </c>
      <c r="AH163" s="6" t="str">
        <f>VLOOKUP(J159,J$1:$L$601,1,FALSE)</f>
        <v>MUMBAI</v>
      </c>
      <c r="AI163" s="6" t="str">
        <f>VLOOKUP(K159,K$1:$L$601,1,FALSE)</f>
        <v>B2C</v>
      </c>
      <c r="AJ163" s="6">
        <f>VLOOKUP(L159,L$1:$L$601,1,FALSE)</f>
        <v>2566.0500000000002</v>
      </c>
    </row>
    <row r="164" spans="1:36" x14ac:dyDescent="0.25">
      <c r="A164">
        <v>1167</v>
      </c>
      <c r="B164" t="s">
        <v>214</v>
      </c>
      <c r="C164" t="s">
        <v>36</v>
      </c>
      <c r="D164" t="s">
        <v>46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29</v>
      </c>
      <c r="K164" t="s">
        <v>16</v>
      </c>
      <c r="L164" s="2">
        <v>-653.79999999999995</v>
      </c>
      <c r="Y164" s="6">
        <f>VLOOKUP(A160,A$1:$L$601,1,FALSE)</f>
        <v>1163</v>
      </c>
      <c r="Z164" s="6" t="str">
        <f>VLOOKUP(B160,B$1:$L$601,1,FALSE)</f>
        <v>Scott Hampton</v>
      </c>
      <c r="AA164" s="6" t="str">
        <f>VLOOKUP(C160,C$1:$L$601,1,FALSE)</f>
        <v>Accessories</v>
      </c>
      <c r="AB164" s="6" t="str">
        <f>VLOOKUP(D160,D$1:$L$601,1,FALSE)</f>
        <v>Sunglasses</v>
      </c>
      <c r="AC164" s="6">
        <f>VLOOKUP(E160,E$1:$L$601,1,FALSE)</f>
        <v>2.4893617021276597</v>
      </c>
      <c r="AD164" s="6">
        <f>VLOOKUP(F160,F$1:$L$601,1,FALSE)</f>
        <v>1033.58</v>
      </c>
      <c r="AE164" s="6">
        <f>VLOOKUP(G160,G$1:$L$601,1,FALSE)</f>
        <v>0.68</v>
      </c>
      <c r="AF164" s="6">
        <f>VLOOKUP(H160,H$1:$L$601,1,FALSE)</f>
        <v>0</v>
      </c>
      <c r="AG164" s="6">
        <f>VLOOKUP(I160,I$1:$L$601,1,FALSE)</f>
        <v>45666</v>
      </c>
      <c r="AH164" s="6" t="str">
        <f>VLOOKUP(J160,J$1:$L$601,1,FALSE)</f>
        <v>BANGALORE</v>
      </c>
      <c r="AI164" s="6" t="str">
        <f>VLOOKUP(K160,K$1:$L$601,1,FALSE)</f>
        <v>B2C</v>
      </c>
      <c r="AJ164" s="6">
        <f>VLOOKUP(L160,L$1:$L$601,1,FALSE)</f>
        <v>-441.46</v>
      </c>
    </row>
    <row r="165" spans="1:36" x14ac:dyDescent="0.25">
      <c r="A165">
        <v>1168</v>
      </c>
      <c r="B165" t="s">
        <v>215</v>
      </c>
      <c r="C165" t="s">
        <v>31</v>
      </c>
      <c r="D165" t="s">
        <v>44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33</v>
      </c>
      <c r="K165" t="s">
        <v>16</v>
      </c>
      <c r="L165" s="2">
        <v>2024.15</v>
      </c>
      <c r="Y165" s="6">
        <f>VLOOKUP(A161,A$1:$L$601,1,FALSE)</f>
        <v>1164</v>
      </c>
      <c r="Z165" s="6" t="str">
        <f>VLOOKUP(B161,B$1:$L$601,1,FALSE)</f>
        <v>Steven Ingram</v>
      </c>
      <c r="AA165" s="6" t="str">
        <f>VLOOKUP(C161,C$1:$L$601,1,FALSE)</f>
        <v>Accessories</v>
      </c>
      <c r="AB165" s="6" t="str">
        <f>VLOOKUP(D161,D$1:$L$601,1,FALSE)</f>
        <v>Sunglasses</v>
      </c>
      <c r="AC165" s="6">
        <f>VLOOKUP(E161,E$1:$L$601,1,FALSE)</f>
        <v>5</v>
      </c>
      <c r="AD165" s="6">
        <f>VLOOKUP(F161,F$1:$L$601,1,FALSE)</f>
        <v>2706.1301960784322</v>
      </c>
      <c r="AE165" s="6">
        <f>VLOOKUP(G161,G$1:$L$601,1,FALSE)</f>
        <v>0.70297297297297334</v>
      </c>
      <c r="AF165" s="6">
        <f>VLOOKUP(H161,H$1:$L$601,1,FALSE)</f>
        <v>0</v>
      </c>
      <c r="AG165" s="6">
        <f>VLOOKUP(I161,I$1:$L$601,1,FALSE)</f>
        <v>45626.838268792708</v>
      </c>
      <c r="AH165" s="6" t="str">
        <f>VLOOKUP(J161,J$1:$L$601,1,FALSE)</f>
        <v>HYDERBAD</v>
      </c>
      <c r="AI165" s="6" t="str">
        <f>VLOOKUP(K161,K$1:$L$601,1,FALSE)</f>
        <v>B2B</v>
      </c>
      <c r="AJ165" s="6">
        <f>VLOOKUP(L161,L$1:$L$601,1,FALSE)</f>
        <v>598.79</v>
      </c>
    </row>
    <row r="166" spans="1:36" x14ac:dyDescent="0.25">
      <c r="A166">
        <v>1169</v>
      </c>
      <c r="B166" t="s">
        <v>216</v>
      </c>
      <c r="C166" t="s">
        <v>36</v>
      </c>
      <c r="D166" t="s">
        <v>71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48</v>
      </c>
      <c r="K166" t="s">
        <v>16</v>
      </c>
      <c r="L166" s="2">
        <v>1285.1500000000001</v>
      </c>
      <c r="Y166" s="6">
        <f>VLOOKUP(A162,A$1:$L$601,1,FALSE)</f>
        <v>1165</v>
      </c>
      <c r="Z166" s="6" t="str">
        <f>VLOOKUP(B162,B$1:$L$601,1,FALSE)</f>
        <v>Joshua Jones</v>
      </c>
      <c r="AA166" s="6" t="str">
        <f>VLOOKUP(C162,C$1:$L$601,1,FALSE)</f>
        <v>T-Shirts</v>
      </c>
      <c r="AB166" s="6" t="str">
        <f>VLOOKUP(D162,D$1:$L$601,1,FALSE)</f>
        <v>Classic Tee</v>
      </c>
      <c r="AC166" s="6">
        <f>VLOOKUP(E162,E$1:$L$601,1,FALSE)</f>
        <v>2</v>
      </c>
      <c r="AD166" s="6">
        <f>VLOOKUP(F162,F$1:$L$601,1,FALSE)</f>
        <v>2742.2927659574466</v>
      </c>
      <c r="AE166" s="6">
        <f>VLOOKUP(G162,G$1:$L$601,1,FALSE)</f>
        <v>0.08</v>
      </c>
      <c r="AF166" s="6">
        <f>VLOOKUP(H162,H$1:$L$601,1,FALSE)</f>
        <v>0</v>
      </c>
      <c r="AG166" s="6">
        <f>VLOOKUP(I162,I$1:$L$601,1,FALSE)</f>
        <v>45569</v>
      </c>
      <c r="AH166" s="6" t="str">
        <f>VLOOKUP(J162,J$1:$L$601,1,FALSE)</f>
        <v>BANGALORE</v>
      </c>
      <c r="AI166" s="6" t="str">
        <f>VLOOKUP(K162,K$1:$L$601,1,FALSE)</f>
        <v>B2B</v>
      </c>
      <c r="AJ166" s="6">
        <f>VLOOKUP(L162,L$1:$L$601,1,FALSE)</f>
        <v>-102.32</v>
      </c>
    </row>
    <row r="167" spans="1:36" x14ac:dyDescent="0.25">
      <c r="A167">
        <v>1170</v>
      </c>
      <c r="B167" t="s">
        <v>217</v>
      </c>
      <c r="C167" t="s">
        <v>13</v>
      </c>
      <c r="D167" t="s">
        <v>51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  <c r="Y167" s="6">
        <f>VLOOKUP(A163,A$1:$L$601,1,FALSE)</f>
        <v>1166</v>
      </c>
      <c r="Z167" s="6" t="str">
        <f>VLOOKUP(B163,B$1:$L$601,1,FALSE)</f>
        <v>Jennifer Johnson</v>
      </c>
      <c r="AA167" s="6" t="str">
        <f>VLOOKUP(C163,C$1:$L$601,1,FALSE)</f>
        <v>Jackets</v>
      </c>
      <c r="AB167" s="6" t="str">
        <f>VLOOKUP(D163,D$1:$L$601,1,FALSE)</f>
        <v>Bomber Jacket</v>
      </c>
      <c r="AC167" s="6">
        <f>VLOOKUP(E163,E$1:$L$601,1,FALSE)</f>
        <v>1.8076923076923077</v>
      </c>
      <c r="AD167" s="6">
        <f>VLOOKUP(F163,F$1:$L$601,1,FALSE)</f>
        <v>2811.5702272727276</v>
      </c>
      <c r="AE167" s="6">
        <f>VLOOKUP(G163,G$1:$L$601,1,FALSE)</f>
        <v>0.91</v>
      </c>
      <c r="AF167" s="6">
        <f>VLOOKUP(H163,H$1:$L$601,1,FALSE)</f>
        <v>0</v>
      </c>
      <c r="AG167" s="6">
        <f>VLOOKUP(I163,I$1:$L$601,1,FALSE)</f>
        <v>45165</v>
      </c>
      <c r="AH167" s="6" t="str">
        <f>VLOOKUP(J163,J$1:$L$601,1,FALSE)</f>
        <v>AHMEDABAD</v>
      </c>
      <c r="AI167" s="6" t="str">
        <f>VLOOKUP(K163,K$1:$L$601,1,FALSE)</f>
        <v>B2C</v>
      </c>
      <c r="AJ167" s="6">
        <f>VLOOKUP(L163,L$1:$L$601,1,FALSE)</f>
        <v>285.44</v>
      </c>
    </row>
    <row r="168" spans="1:36" x14ac:dyDescent="0.25">
      <c r="A168">
        <v>1171</v>
      </c>
      <c r="B168" t="s">
        <v>218</v>
      </c>
      <c r="C168" t="s">
        <v>13</v>
      </c>
      <c r="D168" t="s">
        <v>51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48</v>
      </c>
      <c r="K168" t="s">
        <v>24</v>
      </c>
      <c r="L168" s="2">
        <v>2475.83</v>
      </c>
      <c r="Y168" s="6">
        <f>VLOOKUP(A164,A$1:$L$601,1,FALSE)</f>
        <v>1167</v>
      </c>
      <c r="Z168" s="6" t="str">
        <f>VLOOKUP(B164,B$1:$L$601,1,FALSE)</f>
        <v>Robert Evans</v>
      </c>
      <c r="AA168" s="6" t="str">
        <f>VLOOKUP(C164,C$1:$L$601,1,FALSE)</f>
        <v>T-Shirts</v>
      </c>
      <c r="AB168" s="6" t="str">
        <f>VLOOKUP(D164,D$1:$L$601,1,FALSE)</f>
        <v>Oversized T-Shirt</v>
      </c>
      <c r="AC168" s="6">
        <f>VLOOKUP(E164,E$1:$L$601,1,FALSE)</f>
        <v>0</v>
      </c>
      <c r="AD168" s="6">
        <f>VLOOKUP(F164,F$1:$L$601,1,FALSE)</f>
        <v>4595.8999999999996</v>
      </c>
      <c r="AE168" s="6">
        <f>VLOOKUP(G164,G$1:$L$601,1,FALSE)</f>
        <v>0.09</v>
      </c>
      <c r="AF168" s="6">
        <f>VLOOKUP(H164,H$1:$L$601,1,FALSE)</f>
        <v>0</v>
      </c>
      <c r="AG168" s="6">
        <f>VLOOKUP(I164,I$1:$L$601,1,FALSE)</f>
        <v>45791</v>
      </c>
      <c r="AH168" s="6" t="str">
        <f>VLOOKUP(J164,J$1:$L$601,1,FALSE)</f>
        <v>BANGALORE</v>
      </c>
      <c r="AI168" s="6" t="str">
        <f>VLOOKUP(K164,K$1:$L$601,1,FALSE)</f>
        <v>B2C</v>
      </c>
      <c r="AJ168" s="6">
        <f>VLOOKUP(L164,L$1:$L$601,1,FALSE)</f>
        <v>-653.79999999999995</v>
      </c>
    </row>
    <row r="169" spans="1:36" x14ac:dyDescent="0.25">
      <c r="A169">
        <v>1172</v>
      </c>
      <c r="B169" t="s">
        <v>219</v>
      </c>
      <c r="C169" t="s">
        <v>21</v>
      </c>
      <c r="D169" t="s">
        <v>22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33</v>
      </c>
      <c r="K169" t="s">
        <v>16</v>
      </c>
      <c r="L169" s="2">
        <v>655.1</v>
      </c>
      <c r="Y169" s="6">
        <f>VLOOKUP(A165,A$1:$L$601,1,FALSE)</f>
        <v>1168</v>
      </c>
      <c r="Z169" s="6" t="str">
        <f>VLOOKUP(B165,B$1:$L$601,1,FALSE)</f>
        <v>Eugene Olson Jr.</v>
      </c>
      <c r="AA169" s="6" t="str">
        <f>VLOOKUP(C165,C$1:$L$601,1,FALSE)</f>
        <v>Accessories</v>
      </c>
      <c r="AB169" s="6" t="str">
        <f>VLOOKUP(D165,D$1:$L$601,1,FALSE)</f>
        <v>Sunglasses</v>
      </c>
      <c r="AC169" s="6">
        <f>VLOOKUP(E165,E$1:$L$601,1,FALSE)</f>
        <v>0</v>
      </c>
      <c r="AD169" s="6">
        <f>VLOOKUP(F165,F$1:$L$601,1,FALSE)</f>
        <v>3655.71</v>
      </c>
      <c r="AE169" s="6">
        <f>VLOOKUP(G165,G$1:$L$601,1,FALSE)</f>
        <v>0.48</v>
      </c>
      <c r="AF169" s="6">
        <f>VLOOKUP(H165,H$1:$L$601,1,FALSE)</f>
        <v>0</v>
      </c>
      <c r="AG169" s="6">
        <f>VLOOKUP(I165,I$1:$L$601,1,FALSE)</f>
        <v>45609</v>
      </c>
      <c r="AH169" s="6" t="str">
        <f>VLOOKUP(J165,J$1:$L$601,1,FALSE)</f>
        <v>HYDERBAD</v>
      </c>
      <c r="AI169" s="6" t="str">
        <f>VLOOKUP(K165,K$1:$L$601,1,FALSE)</f>
        <v>B2C</v>
      </c>
      <c r="AJ169" s="6">
        <f>VLOOKUP(L165,L$1:$L$601,1,FALSE)</f>
        <v>2024.15</v>
      </c>
    </row>
    <row r="170" spans="1:36" x14ac:dyDescent="0.25">
      <c r="A170">
        <v>1173</v>
      </c>
      <c r="B170" t="s">
        <v>220</v>
      </c>
      <c r="C170" t="s">
        <v>13</v>
      </c>
      <c r="D170" t="s">
        <v>39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29</v>
      </c>
      <c r="K170" t="s">
        <v>16</v>
      </c>
      <c r="L170" s="2">
        <v>2034.39</v>
      </c>
      <c r="Y170" s="6">
        <f>VLOOKUP(A166,A$1:$L$601,1,FALSE)</f>
        <v>1169</v>
      </c>
      <c r="Z170" s="6" t="str">
        <f>VLOOKUP(B166,B$1:$L$601,1,FALSE)</f>
        <v>Kristine Sexton</v>
      </c>
      <c r="AA170" s="6" t="str">
        <f>VLOOKUP(C166,C$1:$L$601,1,FALSE)</f>
        <v>T-Shirts</v>
      </c>
      <c r="AB170" s="6" t="str">
        <f>VLOOKUP(D166,D$1:$L$601,1,FALSE)</f>
        <v>Classic Tee</v>
      </c>
      <c r="AC170" s="6">
        <f>VLOOKUP(E166,E$1:$L$601,1,FALSE)</f>
        <v>1.5178571428571428</v>
      </c>
      <c r="AD170" s="6">
        <f>VLOOKUP(F166,F$1:$L$601,1,FALSE)</f>
        <v>2948.26</v>
      </c>
      <c r="AE170" s="6">
        <f>VLOOKUP(G166,G$1:$L$601,1,FALSE)</f>
        <v>0.9</v>
      </c>
      <c r="AF170" s="6">
        <f>VLOOKUP(H166,H$1:$L$601,1,FALSE)</f>
        <v>-294.83</v>
      </c>
      <c r="AG170" s="6">
        <f>VLOOKUP(I166,I$1:$L$601,1,FALSE)</f>
        <v>45626.838268792708</v>
      </c>
      <c r="AH170" s="6" t="str">
        <f>VLOOKUP(J166,J$1:$L$601,1,FALSE)</f>
        <v>PUNE</v>
      </c>
      <c r="AI170" s="6" t="str">
        <f>VLOOKUP(K166,K$1:$L$601,1,FALSE)</f>
        <v>B2C</v>
      </c>
      <c r="AJ170" s="6">
        <f>VLOOKUP(L166,L$1:$L$601,1,FALSE)</f>
        <v>1285.1500000000001</v>
      </c>
    </row>
    <row r="171" spans="1:36" x14ac:dyDescent="0.25">
      <c r="A171">
        <v>1174</v>
      </c>
      <c r="B171" t="s">
        <v>221</v>
      </c>
      <c r="C171" t="s">
        <v>21</v>
      </c>
      <c r="D171" t="s">
        <v>121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29</v>
      </c>
      <c r="K171" t="s">
        <v>16</v>
      </c>
      <c r="L171" s="2">
        <v>2931.32</v>
      </c>
      <c r="Y171" s="6">
        <f>VLOOKUP(A167,A$1:$L$601,1,FALSE)</f>
        <v>1170</v>
      </c>
      <c r="Z171" s="6" t="str">
        <f>VLOOKUP(B167,B$1:$L$601,1,FALSE)</f>
        <v>Marc Hull</v>
      </c>
      <c r="AA171" s="6" t="str">
        <f>VLOOKUP(C167,C$1:$L$601,1,FALSE)</f>
        <v>Jeans</v>
      </c>
      <c r="AB171" s="6" t="str">
        <f>VLOOKUP(D167,D$1:$L$601,1,FALSE)</f>
        <v>Straight Cut</v>
      </c>
      <c r="AC171" s="6">
        <f>VLOOKUP(E167,E$1:$L$601,1,FALSE)</f>
        <v>0</v>
      </c>
      <c r="AD171" s="6">
        <f>VLOOKUP(F167,F$1:$L$601,1,FALSE)</f>
        <v>2676.4254237288142</v>
      </c>
      <c r="AE171" s="6">
        <f>VLOOKUP(G167,G$1:$L$601,1,FALSE)</f>
        <v>0.76</v>
      </c>
      <c r="AF171" s="6">
        <f>VLOOKUP(H167,H$1:$L$601,1,FALSE)</f>
        <v>0</v>
      </c>
      <c r="AG171" s="6">
        <f>VLOOKUP(I167,I$1:$L$601,1,FALSE)</f>
        <v>45626.838268792708</v>
      </c>
      <c r="AH171" s="6" t="str">
        <f>VLOOKUP(J167,J$1:$L$601,1,FALSE)</f>
        <v>DELHI</v>
      </c>
      <c r="AI171" s="6" t="str">
        <f>VLOOKUP(K167,K$1:$L$601,1,FALSE)</f>
        <v>B2C</v>
      </c>
      <c r="AJ171" s="6">
        <f>VLOOKUP(L167,L$1:$L$601,1,FALSE)</f>
        <v>-528.70000000000005</v>
      </c>
    </row>
    <row r="172" spans="1:36" x14ac:dyDescent="0.25">
      <c r="A172">
        <v>1175</v>
      </c>
      <c r="B172" t="s">
        <v>222</v>
      </c>
      <c r="C172" t="s">
        <v>41</v>
      </c>
      <c r="D172" t="s">
        <v>42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19</v>
      </c>
      <c r="K172" t="s">
        <v>16</v>
      </c>
      <c r="L172" s="2">
        <v>728.61</v>
      </c>
      <c r="Y172" s="6">
        <f>VLOOKUP(A168,A$1:$L$601,1,FALSE)</f>
        <v>1171</v>
      </c>
      <c r="Z172" s="6" t="str">
        <f>VLOOKUP(B168,B$1:$L$601,1,FALSE)</f>
        <v>Richard Johnson</v>
      </c>
      <c r="AA172" s="6" t="str">
        <f>VLOOKUP(C168,C$1:$L$601,1,FALSE)</f>
        <v>Jeans</v>
      </c>
      <c r="AB172" s="6" t="str">
        <f>VLOOKUP(D168,D$1:$L$601,1,FALSE)</f>
        <v>Straight Cut</v>
      </c>
      <c r="AC172" s="6">
        <f>VLOOKUP(E168,E$1:$L$601,1,FALSE)</f>
        <v>1</v>
      </c>
      <c r="AD172" s="6">
        <f>VLOOKUP(F168,F$1:$L$601,1,FALSE)</f>
        <v>2676.4254237288142</v>
      </c>
      <c r="AE172" s="6">
        <f>VLOOKUP(G168,G$1:$L$601,1,FALSE)</f>
        <v>0.58977272727272723</v>
      </c>
      <c r="AF172" s="6">
        <f>VLOOKUP(H168,H$1:$L$601,1,FALSE)</f>
        <v>0</v>
      </c>
      <c r="AG172" s="6">
        <f>VLOOKUP(I168,I$1:$L$601,1,FALSE)</f>
        <v>45824</v>
      </c>
      <c r="AH172" s="6" t="str">
        <f>VLOOKUP(J168,J$1:$L$601,1,FALSE)</f>
        <v>PUNE</v>
      </c>
      <c r="AI172" s="6" t="str">
        <f>VLOOKUP(K168,K$1:$L$601,1,FALSE)</f>
        <v>B2B</v>
      </c>
      <c r="AJ172" s="6">
        <f>VLOOKUP(L168,L$1:$L$601,1,FALSE)</f>
        <v>2475.83</v>
      </c>
    </row>
    <row r="173" spans="1:36" x14ac:dyDescent="0.25">
      <c r="A173">
        <v>1176</v>
      </c>
      <c r="B173" t="s">
        <v>223</v>
      </c>
      <c r="C173" t="s">
        <v>13</v>
      </c>
      <c r="D173" t="s">
        <v>39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23</v>
      </c>
      <c r="K173" t="s">
        <v>24</v>
      </c>
      <c r="L173" s="2">
        <v>-879.15</v>
      </c>
      <c r="Y173" s="6">
        <f>VLOOKUP(A169,A$1:$L$601,1,FALSE)</f>
        <v>1172</v>
      </c>
      <c r="Z173" s="6" t="str">
        <f>VLOOKUP(B169,B$1:$L$601,1,FALSE)</f>
        <v>Diane Davis</v>
      </c>
      <c r="AA173" s="6" t="str">
        <f>VLOOKUP(C169,C$1:$L$601,1,FALSE)</f>
        <v>Jackets</v>
      </c>
      <c r="AB173" s="6" t="str">
        <f>VLOOKUP(D169,D$1:$L$601,1,FALSE)</f>
        <v>Puffer Coat</v>
      </c>
      <c r="AC173" s="6">
        <f>VLOOKUP(E169,E$1:$L$601,1,FALSE)</f>
        <v>1.5178571428571428</v>
      </c>
      <c r="AD173" s="6">
        <f>VLOOKUP(F169,F$1:$L$601,1,FALSE)</f>
        <v>2719.32</v>
      </c>
      <c r="AE173" s="6">
        <f>VLOOKUP(G169,G$1:$L$601,1,FALSE)</f>
        <v>0.69969696969696993</v>
      </c>
      <c r="AF173" s="6">
        <f>VLOOKUP(H169,H$1:$L$601,1,FALSE)</f>
        <v>0</v>
      </c>
      <c r="AG173" s="6">
        <f>VLOOKUP(I169,I$1:$L$601,1,FALSE)</f>
        <v>45779</v>
      </c>
      <c r="AH173" s="6" t="str">
        <f>VLOOKUP(J169,J$1:$L$601,1,FALSE)</f>
        <v>HYDERBAD</v>
      </c>
      <c r="AI173" s="6" t="str">
        <f>VLOOKUP(K169,K$1:$L$601,1,FALSE)</f>
        <v>B2C</v>
      </c>
      <c r="AJ173" s="6">
        <f>VLOOKUP(L169,L$1:$L$601,1,FALSE)</f>
        <v>655.1</v>
      </c>
    </row>
    <row r="174" spans="1:36" x14ac:dyDescent="0.25">
      <c r="A174">
        <v>1177</v>
      </c>
      <c r="B174" t="s">
        <v>224</v>
      </c>
      <c r="C174" t="s">
        <v>13</v>
      </c>
      <c r="D174" t="s">
        <v>51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19</v>
      </c>
      <c r="K174" t="s">
        <v>16</v>
      </c>
      <c r="L174" s="2">
        <v>353.91</v>
      </c>
      <c r="Y174" s="6">
        <f>VLOOKUP(A170,A$1:$L$601,1,FALSE)</f>
        <v>1173</v>
      </c>
      <c r="Z174" s="6" t="str">
        <f>VLOOKUP(B170,B$1:$L$601,1,FALSE)</f>
        <v>Shaun Bush</v>
      </c>
      <c r="AA174" s="6" t="str">
        <f>VLOOKUP(C170,C$1:$L$601,1,FALSE)</f>
        <v>Jeans</v>
      </c>
      <c r="AB174" s="6" t="str">
        <f>VLOOKUP(D170,D$1:$L$601,1,FALSE)</f>
        <v>Boyfriend Jeans</v>
      </c>
      <c r="AC174" s="6">
        <f>VLOOKUP(E170,E$1:$L$601,1,FALSE)</f>
        <v>2.1052631578947367</v>
      </c>
      <c r="AD174" s="6">
        <f>VLOOKUP(F170,F$1:$L$601,1,FALSE)</f>
        <v>4063.39</v>
      </c>
      <c r="AE174" s="6">
        <f>VLOOKUP(G170,G$1:$L$601,1,FALSE)</f>
        <v>0.58977272727272723</v>
      </c>
      <c r="AF174" s="6">
        <f>VLOOKUP(H170,H$1:$L$601,1,FALSE)</f>
        <v>0</v>
      </c>
      <c r="AG174" s="6">
        <f>VLOOKUP(I170,I$1:$L$601,1,FALSE)</f>
        <v>45626.838268792708</v>
      </c>
      <c r="AH174" s="6" t="str">
        <f>VLOOKUP(J170,J$1:$L$601,1,FALSE)</f>
        <v>BANGALORE</v>
      </c>
      <c r="AI174" s="6" t="str">
        <f>VLOOKUP(K170,K$1:$L$601,1,FALSE)</f>
        <v>B2C</v>
      </c>
      <c r="AJ174" s="6">
        <f>VLOOKUP(L170,L$1:$L$601,1,FALSE)</f>
        <v>2034.39</v>
      </c>
    </row>
    <row r="175" spans="1:36" x14ac:dyDescent="0.25">
      <c r="A175">
        <v>1178</v>
      </c>
      <c r="B175" t="s">
        <v>225</v>
      </c>
      <c r="C175" t="s">
        <v>36</v>
      </c>
      <c r="D175" t="s">
        <v>37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33</v>
      </c>
      <c r="K175" t="s">
        <v>16</v>
      </c>
      <c r="L175" s="2">
        <v>2161.64</v>
      </c>
      <c r="Y175" s="6">
        <f>VLOOKUP(A171,A$1:$L$601,1,FALSE)</f>
        <v>1174</v>
      </c>
      <c r="Z175" s="6" t="str">
        <f>VLOOKUP(B171,B$1:$L$601,1,FALSE)</f>
        <v>Tiffany Flores</v>
      </c>
      <c r="AA175" s="6" t="str">
        <f>VLOOKUP(C171,C$1:$L$601,1,FALSE)</f>
        <v>Jackets</v>
      </c>
      <c r="AB175" s="6" t="str">
        <f>VLOOKUP(D171,D$1:$L$601,1,FALSE)</f>
        <v>Leather Jacket</v>
      </c>
      <c r="AC175" s="6">
        <f>VLOOKUP(E171,E$1:$L$601,1,FALSE)</f>
        <v>6</v>
      </c>
      <c r="AD175" s="6">
        <f>VLOOKUP(F171,F$1:$L$601,1,FALSE)</f>
        <v>4984.6499999999996</v>
      </c>
      <c r="AE175" s="6">
        <f>VLOOKUP(G171,G$1:$L$601,1,FALSE)</f>
        <v>0.42</v>
      </c>
      <c r="AF175" s="6">
        <f>VLOOKUP(H171,H$1:$L$601,1,FALSE)</f>
        <v>17346.580000000002</v>
      </c>
      <c r="AG175" s="6">
        <f>VLOOKUP(I171,I$1:$L$601,1,FALSE)</f>
        <v>45649</v>
      </c>
      <c r="AH175" s="6" t="str">
        <f>VLOOKUP(J171,J$1:$L$601,1,FALSE)</f>
        <v>BANGALORE</v>
      </c>
      <c r="AI175" s="6" t="str">
        <f>VLOOKUP(K171,K$1:$L$601,1,FALSE)</f>
        <v>B2C</v>
      </c>
      <c r="AJ175" s="6">
        <f>VLOOKUP(L171,L$1:$L$601,1,FALSE)</f>
        <v>2931.32</v>
      </c>
    </row>
    <row r="176" spans="1:36" x14ac:dyDescent="0.25">
      <c r="A176">
        <v>1179</v>
      </c>
      <c r="B176" t="s">
        <v>226</v>
      </c>
      <c r="C176" t="s">
        <v>21</v>
      </c>
      <c r="D176" t="s">
        <v>79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23</v>
      </c>
      <c r="K176" t="s">
        <v>16</v>
      </c>
      <c r="L176" s="2">
        <v>510.53</v>
      </c>
      <c r="Y176" s="6">
        <f>VLOOKUP(A172,A$1:$L$601,1,FALSE)</f>
        <v>1175</v>
      </c>
      <c r="Z176" s="6" t="str">
        <f>VLOOKUP(B172,B$1:$L$601,1,FALSE)</f>
        <v>Ashley Brown</v>
      </c>
      <c r="AA176" s="6" t="str">
        <f>VLOOKUP(C172,C$1:$L$601,1,FALSE)</f>
        <v>Dresses</v>
      </c>
      <c r="AB176" s="6" t="str">
        <f>VLOOKUP(D172,D$1:$L$601,1,FALSE)</f>
        <v>Casual Midi</v>
      </c>
      <c r="AC176" s="6">
        <f>VLOOKUP(E172,E$1:$L$601,1,FALSE)</f>
        <v>3</v>
      </c>
      <c r="AD176" s="6">
        <f>VLOOKUP(F172,F$1:$L$601,1,FALSE)</f>
        <v>2949.9901960784309</v>
      </c>
      <c r="AE176" s="6">
        <f>VLOOKUP(G172,G$1:$L$601,1,FALSE)</f>
        <v>0.55000000000000004</v>
      </c>
      <c r="AF176" s="6">
        <f>VLOOKUP(H172,H$1:$L$601,1,FALSE)</f>
        <v>0</v>
      </c>
      <c r="AG176" s="6">
        <f>VLOOKUP(I172,I$1:$L$601,1,FALSE)</f>
        <v>45301</v>
      </c>
      <c r="AH176" s="6" t="str">
        <f>VLOOKUP(J172,J$1:$L$601,1,FALSE)</f>
        <v>AHMEDABAD</v>
      </c>
      <c r="AI176" s="6" t="str">
        <f>VLOOKUP(K172,K$1:$L$601,1,FALSE)</f>
        <v>B2C</v>
      </c>
      <c r="AJ176" s="6">
        <f>VLOOKUP(L172,L$1:$L$601,1,FALSE)</f>
        <v>728.61</v>
      </c>
    </row>
    <row r="177" spans="1:36" x14ac:dyDescent="0.25">
      <c r="A177">
        <v>1180</v>
      </c>
      <c r="B177" t="s">
        <v>227</v>
      </c>
      <c r="C177" t="s">
        <v>41</v>
      </c>
      <c r="D177" t="s">
        <v>90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33</v>
      </c>
      <c r="K177" t="s">
        <v>16</v>
      </c>
      <c r="L177" s="2">
        <v>835.4</v>
      </c>
      <c r="Y177" s="6">
        <f>VLOOKUP(A173,A$1:$L$601,1,FALSE)</f>
        <v>1176</v>
      </c>
      <c r="Z177" s="6" t="str">
        <f>VLOOKUP(B173,B$1:$L$601,1,FALSE)</f>
        <v>Bailey Williamson</v>
      </c>
      <c r="AA177" s="6" t="str">
        <f>VLOOKUP(C173,C$1:$L$601,1,FALSE)</f>
        <v>Jeans</v>
      </c>
      <c r="AB177" s="6" t="str">
        <f>VLOOKUP(D173,D$1:$L$601,1,FALSE)</f>
        <v>Boyfriend Jeans</v>
      </c>
      <c r="AC177" s="6">
        <f>VLOOKUP(E173,E$1:$L$601,1,FALSE)</f>
        <v>6</v>
      </c>
      <c r="AD177" s="6">
        <f>VLOOKUP(F173,F$1:$L$601,1,FALSE)</f>
        <v>2676.4254237288142</v>
      </c>
      <c r="AE177" s="6">
        <f>VLOOKUP(G173,G$1:$L$601,1,FALSE)</f>
        <v>0.87</v>
      </c>
      <c r="AF177" s="6">
        <f>VLOOKUP(H173,H$1:$L$601,1,FALSE)</f>
        <v>0</v>
      </c>
      <c r="AG177" s="6">
        <f>VLOOKUP(I173,I$1:$L$601,1,FALSE)</f>
        <v>45626.838268792708</v>
      </c>
      <c r="AH177" s="6" t="str">
        <f>VLOOKUP(J173,J$1:$L$601,1,FALSE)</f>
        <v>MUMBAI</v>
      </c>
      <c r="AI177" s="6" t="str">
        <f>VLOOKUP(K173,K$1:$L$601,1,FALSE)</f>
        <v>B2B</v>
      </c>
      <c r="AJ177" s="6">
        <f>VLOOKUP(L173,L$1:$L$601,1,FALSE)</f>
        <v>-879.15</v>
      </c>
    </row>
    <row r="178" spans="1:36" x14ac:dyDescent="0.25">
      <c r="A178">
        <v>1181</v>
      </c>
      <c r="B178" t="s">
        <v>228</v>
      </c>
      <c r="C178" t="s">
        <v>21</v>
      </c>
      <c r="D178" t="s">
        <v>79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23</v>
      </c>
      <c r="K178" t="s">
        <v>24</v>
      </c>
      <c r="L178" s="2">
        <v>2564.06</v>
      </c>
      <c r="Y178" s="6">
        <f>VLOOKUP(A174,A$1:$L$601,1,FALSE)</f>
        <v>1177</v>
      </c>
      <c r="Z178" s="6" t="str">
        <f>VLOOKUP(B174,B$1:$L$601,1,FALSE)</f>
        <v>Elizabeth Torres</v>
      </c>
      <c r="AA178" s="6" t="str">
        <f>VLOOKUP(C174,C$1:$L$601,1,FALSE)</f>
        <v>Jeans</v>
      </c>
      <c r="AB178" s="6" t="str">
        <f>VLOOKUP(D174,D$1:$L$601,1,FALSE)</f>
        <v>Straight Cut</v>
      </c>
      <c r="AC178" s="6">
        <f>VLOOKUP(E174,E$1:$L$601,1,FALSE)</f>
        <v>2.1052631578947367</v>
      </c>
      <c r="AD178" s="6">
        <f>VLOOKUP(F174,F$1:$L$601,1,FALSE)</f>
        <v>2426.13</v>
      </c>
      <c r="AE178" s="6">
        <f>VLOOKUP(G174,G$1:$L$601,1,FALSE)</f>
        <v>0.58977272727272723</v>
      </c>
      <c r="AF178" s="6">
        <f>VLOOKUP(H174,H$1:$L$601,1,FALSE)</f>
        <v>0</v>
      </c>
      <c r="AG178" s="6">
        <f>VLOOKUP(I174,I$1:$L$601,1,FALSE)</f>
        <v>45746</v>
      </c>
      <c r="AH178" s="6" t="str">
        <f>VLOOKUP(J174,J$1:$L$601,1,FALSE)</f>
        <v>AHMEDABAD</v>
      </c>
      <c r="AI178" s="6" t="str">
        <f>VLOOKUP(K174,K$1:$L$601,1,FALSE)</f>
        <v>B2C</v>
      </c>
      <c r="AJ178" s="6">
        <f>VLOOKUP(L174,L$1:$L$601,1,FALSE)</f>
        <v>353.91</v>
      </c>
    </row>
    <row r="179" spans="1:36" x14ac:dyDescent="0.25">
      <c r="A179">
        <v>1182</v>
      </c>
      <c r="B179" t="s">
        <v>229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48</v>
      </c>
      <c r="K179" t="s">
        <v>16</v>
      </c>
      <c r="L179" s="2">
        <v>-747.25</v>
      </c>
      <c r="Y179" s="6">
        <f>VLOOKUP(A175,A$1:$L$601,1,FALSE)</f>
        <v>1178</v>
      </c>
      <c r="Z179" s="6" t="str">
        <f>VLOOKUP(B175,B$1:$L$601,1,FALSE)</f>
        <v>Joshua Anderson</v>
      </c>
      <c r="AA179" s="6" t="str">
        <f>VLOOKUP(C175,C$1:$L$601,1,FALSE)</f>
        <v>T-Shirts</v>
      </c>
      <c r="AB179" s="6" t="str">
        <f>VLOOKUP(D175,D$1:$L$601,1,FALSE)</f>
        <v>Crop Top</v>
      </c>
      <c r="AC179" s="6">
        <f>VLOOKUP(E175,E$1:$L$601,1,FALSE)</f>
        <v>4</v>
      </c>
      <c r="AD179" s="6">
        <f>VLOOKUP(F175,F$1:$L$601,1,FALSE)</f>
        <v>1204.5899999999999</v>
      </c>
      <c r="AE179" s="6">
        <f>VLOOKUP(G175,G$1:$L$601,1,FALSE)</f>
        <v>0.65787878787878773</v>
      </c>
      <c r="AF179" s="6">
        <f>VLOOKUP(H175,H$1:$L$601,1,FALSE)</f>
        <v>0</v>
      </c>
      <c r="AG179" s="6">
        <f>VLOOKUP(I175,I$1:$L$601,1,FALSE)</f>
        <v>45626.838268792708</v>
      </c>
      <c r="AH179" s="6" t="str">
        <f>VLOOKUP(J175,J$1:$L$601,1,FALSE)</f>
        <v>HYDERBAD</v>
      </c>
      <c r="AI179" s="6" t="str">
        <f>VLOOKUP(K175,K$1:$L$601,1,FALSE)</f>
        <v>B2C</v>
      </c>
      <c r="AJ179" s="6">
        <f>VLOOKUP(L175,L$1:$L$601,1,FALSE)</f>
        <v>2161.64</v>
      </c>
    </row>
    <row r="180" spans="1:36" x14ac:dyDescent="0.25">
      <c r="A180">
        <v>1183</v>
      </c>
      <c r="B180" t="s">
        <v>230</v>
      </c>
      <c r="C180" t="s">
        <v>31</v>
      </c>
      <c r="D180" t="s">
        <v>119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  <c r="Y180" s="6">
        <f>VLOOKUP(A176,A$1:$L$601,1,FALSE)</f>
        <v>1179</v>
      </c>
      <c r="Z180" s="6" t="str">
        <f>VLOOKUP(B176,B$1:$L$601,1,FALSE)</f>
        <v>Kevin Allen</v>
      </c>
      <c r="AA180" s="6" t="str">
        <f>VLOOKUP(C176,C$1:$L$601,1,FALSE)</f>
        <v>Jackets</v>
      </c>
      <c r="AB180" s="6" t="str">
        <f>VLOOKUP(D176,D$1:$L$601,1,FALSE)</f>
        <v>Bomber Jacket</v>
      </c>
      <c r="AC180" s="6">
        <f>VLOOKUP(E176,E$1:$L$601,1,FALSE)</f>
        <v>0</v>
      </c>
      <c r="AD180" s="6">
        <f>VLOOKUP(F176,F$1:$L$601,1,FALSE)</f>
        <v>2811.5702272727276</v>
      </c>
      <c r="AE180" s="6">
        <f>VLOOKUP(G176,G$1:$L$601,1,FALSE)</f>
        <v>0.69969696969696993</v>
      </c>
      <c r="AF180" s="6">
        <f>VLOOKUP(H176,H$1:$L$601,1,FALSE)</f>
        <v>0</v>
      </c>
      <c r="AG180" s="6">
        <f>VLOOKUP(I176,I$1:$L$601,1,FALSE)</f>
        <v>45751</v>
      </c>
      <c r="AH180" s="6" t="str">
        <f>VLOOKUP(J176,J$1:$L$601,1,FALSE)</f>
        <v>MUMBAI</v>
      </c>
      <c r="AI180" s="6" t="str">
        <f>VLOOKUP(K176,K$1:$L$601,1,FALSE)</f>
        <v>B2C</v>
      </c>
      <c r="AJ180" s="6">
        <f>VLOOKUP(L176,L$1:$L$601,1,FALSE)</f>
        <v>510.53</v>
      </c>
    </row>
    <row r="181" spans="1:36" x14ac:dyDescent="0.25">
      <c r="A181">
        <v>1184</v>
      </c>
      <c r="B181" t="s">
        <v>231</v>
      </c>
      <c r="C181" t="s">
        <v>13</v>
      </c>
      <c r="D181" t="s">
        <v>101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24</v>
      </c>
      <c r="L181" s="2">
        <v>1518.99</v>
      </c>
      <c r="Y181" s="6">
        <f>VLOOKUP(A177,A$1:$L$601,1,FALSE)</f>
        <v>1180</v>
      </c>
      <c r="Z181" s="6" t="str">
        <f>VLOOKUP(B177,B$1:$L$601,1,FALSE)</f>
        <v>Michelle Moore</v>
      </c>
      <c r="AA181" s="6" t="str">
        <f>VLOOKUP(C177,C$1:$L$601,1,FALSE)</f>
        <v>Dresses</v>
      </c>
      <c r="AB181" s="6" t="str">
        <f>VLOOKUP(D177,D$1:$L$601,1,FALSE)</f>
        <v>Bodycon</v>
      </c>
      <c r="AC181" s="6">
        <f>VLOOKUP(E177,E$1:$L$601,1,FALSE)</f>
        <v>6</v>
      </c>
      <c r="AD181" s="6">
        <f>VLOOKUP(F177,F$1:$L$601,1,FALSE)</f>
        <v>2495.96</v>
      </c>
      <c r="AE181" s="6">
        <f>VLOOKUP(G177,G$1:$L$601,1,FALSE)</f>
        <v>0.55000000000000004</v>
      </c>
      <c r="AF181" s="6">
        <f>VLOOKUP(H177,H$1:$L$601,1,FALSE)</f>
        <v>0</v>
      </c>
      <c r="AG181" s="6">
        <f>VLOOKUP(I177,I$1:$L$601,1,FALSE)</f>
        <v>45626.838268792708</v>
      </c>
      <c r="AH181" s="6" t="str">
        <f>VLOOKUP(J177,J$1:$L$601,1,FALSE)</f>
        <v>HYDERBAD</v>
      </c>
      <c r="AI181" s="6" t="str">
        <f>VLOOKUP(K177,K$1:$L$601,1,FALSE)</f>
        <v>B2C</v>
      </c>
      <c r="AJ181" s="6">
        <f>VLOOKUP(L177,L$1:$L$601,1,FALSE)</f>
        <v>835.4</v>
      </c>
    </row>
    <row r="182" spans="1:36" x14ac:dyDescent="0.25">
      <c r="A182">
        <v>1185</v>
      </c>
      <c r="B182" t="s">
        <v>232</v>
      </c>
      <c r="C182" t="s">
        <v>31</v>
      </c>
      <c r="D182" t="s">
        <v>32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  <c r="Y182" s="6">
        <f>VLOOKUP(A178,A$1:$L$601,1,FALSE)</f>
        <v>1181</v>
      </c>
      <c r="Z182" s="6" t="str">
        <f>VLOOKUP(B178,B$1:$L$601,1,FALSE)</f>
        <v>John Barber</v>
      </c>
      <c r="AA182" s="6" t="str">
        <f>VLOOKUP(C178,C$1:$L$601,1,FALSE)</f>
        <v>Jackets</v>
      </c>
      <c r="AB182" s="6" t="str">
        <f>VLOOKUP(D178,D$1:$L$601,1,FALSE)</f>
        <v>Bomber Jacket</v>
      </c>
      <c r="AC182" s="6">
        <f>VLOOKUP(E178,E$1:$L$601,1,FALSE)</f>
        <v>1.8076923076923077</v>
      </c>
      <c r="AD182" s="6">
        <f>VLOOKUP(F178,F$1:$L$601,1,FALSE)</f>
        <v>2811.5702272727276</v>
      </c>
      <c r="AE182" s="6">
        <f>VLOOKUP(G178,G$1:$L$601,1,FALSE)</f>
        <v>0.69969696969696993</v>
      </c>
      <c r="AF182" s="6">
        <f>VLOOKUP(H178,H$1:$L$601,1,FALSE)</f>
        <v>0</v>
      </c>
      <c r="AG182" s="6">
        <f>VLOOKUP(I178,I$1:$L$601,1,FALSE)</f>
        <v>45732</v>
      </c>
      <c r="AH182" s="6" t="str">
        <f>VLOOKUP(J178,J$1:$L$601,1,FALSE)</f>
        <v>MUMBAI</v>
      </c>
      <c r="AI182" s="6" t="str">
        <f>VLOOKUP(K178,K$1:$L$601,1,FALSE)</f>
        <v>B2B</v>
      </c>
      <c r="AJ182" s="6">
        <f>VLOOKUP(L178,L$1:$L$601,1,FALSE)</f>
        <v>2564.06</v>
      </c>
    </row>
    <row r="183" spans="1:36" x14ac:dyDescent="0.25">
      <c r="A183">
        <v>1186</v>
      </c>
      <c r="B183" t="s">
        <v>233</v>
      </c>
      <c r="C183" t="s">
        <v>13</v>
      </c>
      <c r="D183" t="s">
        <v>39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29</v>
      </c>
      <c r="K183" t="s">
        <v>24</v>
      </c>
      <c r="L183" s="2">
        <v>-40.479999999999997</v>
      </c>
      <c r="Y183" s="6">
        <f>VLOOKUP(A179,A$1:$L$601,1,FALSE)</f>
        <v>1182</v>
      </c>
      <c r="Z183" s="6" t="str">
        <f>VLOOKUP(B179,B$1:$L$601,1,FALSE)</f>
        <v>Andrew Mclaughlin</v>
      </c>
      <c r="AA183" s="6" t="str">
        <f>VLOOKUP(C179,C$1:$L$601,1,FALSE)</f>
        <v>Jeans</v>
      </c>
      <c r="AB183" s="6" t="str">
        <f>VLOOKUP(D179,D$1:$L$601,1,FALSE)</f>
        <v>Slim Fit Jeans</v>
      </c>
      <c r="AC183" s="6">
        <f>VLOOKUP(E179,E$1:$L$601,1,FALSE)</f>
        <v>1.5178571428571428</v>
      </c>
      <c r="AD183" s="6">
        <f>VLOOKUP(F179,F$1:$L$601,1,FALSE)</f>
        <v>2676.4254237288142</v>
      </c>
      <c r="AE183" s="6">
        <f>VLOOKUP(G179,G$1:$L$601,1,FALSE)</f>
        <v>0.58977272727272723</v>
      </c>
      <c r="AF183" s="6">
        <f>VLOOKUP(H179,H$1:$L$601,1,FALSE)</f>
        <v>0</v>
      </c>
      <c r="AG183" s="6">
        <f>VLOOKUP(I179,I$1:$L$601,1,FALSE)</f>
        <v>45510</v>
      </c>
      <c r="AH183" s="6" t="str">
        <f>VLOOKUP(J179,J$1:$L$601,1,FALSE)</f>
        <v>PUNE</v>
      </c>
      <c r="AI183" s="6" t="str">
        <f>VLOOKUP(K179,K$1:$L$601,1,FALSE)</f>
        <v>B2C</v>
      </c>
      <c r="AJ183" s="6">
        <f>VLOOKUP(L179,L$1:$L$601,1,FALSE)</f>
        <v>-747.25</v>
      </c>
    </row>
    <row r="184" spans="1:36" x14ac:dyDescent="0.25">
      <c r="A184">
        <v>1187</v>
      </c>
      <c r="B184" t="s">
        <v>234</v>
      </c>
      <c r="C184" t="s">
        <v>31</v>
      </c>
      <c r="D184" t="s">
        <v>32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23</v>
      </c>
      <c r="K184" t="s">
        <v>16</v>
      </c>
      <c r="L184" s="2">
        <v>1153.72</v>
      </c>
      <c r="Y184" s="6">
        <f>VLOOKUP(A180,A$1:$L$601,1,FALSE)</f>
        <v>1183</v>
      </c>
      <c r="Z184" s="6" t="str">
        <f>VLOOKUP(B180,B$1:$L$601,1,FALSE)</f>
        <v>Sherry Ward</v>
      </c>
      <c r="AA184" s="6" t="str">
        <f>VLOOKUP(C180,C$1:$L$601,1,FALSE)</f>
        <v>Accessories</v>
      </c>
      <c r="AB184" s="6" t="str">
        <f>VLOOKUP(D180,D$1:$L$601,1,FALSE)</f>
        <v>Watches</v>
      </c>
      <c r="AC184" s="6">
        <f>VLOOKUP(E180,E$1:$L$601,1,FALSE)</f>
        <v>6</v>
      </c>
      <c r="AD184" s="6">
        <f>VLOOKUP(F180,F$1:$L$601,1,FALSE)</f>
        <v>2372.3000000000002</v>
      </c>
      <c r="AE184" s="6">
        <f>VLOOKUP(G180,G$1:$L$601,1,FALSE)</f>
        <v>0.70297297297297334</v>
      </c>
      <c r="AF184" s="6">
        <f>VLOOKUP(H180,H$1:$L$601,1,FALSE)</f>
        <v>0</v>
      </c>
      <c r="AG184" s="6">
        <f>VLOOKUP(I180,I$1:$L$601,1,FALSE)</f>
        <v>45378</v>
      </c>
      <c r="AH184" s="6" t="str">
        <f>VLOOKUP(J180,J$1:$L$601,1,FALSE)</f>
        <v>DELHI</v>
      </c>
      <c r="AI184" s="6" t="str">
        <f>VLOOKUP(K180,K$1:$L$601,1,FALSE)</f>
        <v>B2C</v>
      </c>
      <c r="AJ184" s="6">
        <f>VLOOKUP(L180,L$1:$L$601,1,FALSE)</f>
        <v>1888.87</v>
      </c>
    </row>
    <row r="185" spans="1:36" x14ac:dyDescent="0.25">
      <c r="A185">
        <v>1188</v>
      </c>
      <c r="B185" t="s">
        <v>235</v>
      </c>
      <c r="C185" t="s">
        <v>31</v>
      </c>
      <c r="D185" t="s">
        <v>32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29</v>
      </c>
      <c r="K185" t="s">
        <v>16</v>
      </c>
      <c r="L185" s="2">
        <v>2089.25</v>
      </c>
      <c r="Y185" s="6">
        <f>VLOOKUP(A181,A$1:$L$601,1,FALSE)</f>
        <v>1184</v>
      </c>
      <c r="Z185" s="6" t="str">
        <f>VLOOKUP(B181,B$1:$L$601,1,FALSE)</f>
        <v>Craig Farrell</v>
      </c>
      <c r="AA185" s="6" t="str">
        <f>VLOOKUP(C181,C$1:$L$601,1,FALSE)</f>
        <v>Jeans</v>
      </c>
      <c r="AB185" s="6" t="str">
        <f>VLOOKUP(D181,D$1:$L$601,1,FALSE)</f>
        <v>Ripped Denim</v>
      </c>
      <c r="AC185" s="6">
        <f>VLOOKUP(E181,E$1:$L$601,1,FALSE)</f>
        <v>0</v>
      </c>
      <c r="AD185" s="6">
        <f>VLOOKUP(F181,F$1:$L$601,1,FALSE)</f>
        <v>2697.1</v>
      </c>
      <c r="AE185" s="6">
        <f>VLOOKUP(G181,G$1:$L$601,1,FALSE)</f>
        <v>0.58977272727272723</v>
      </c>
      <c r="AF185" s="6">
        <f>VLOOKUP(H181,H$1:$L$601,1,FALSE)</f>
        <v>0</v>
      </c>
      <c r="AG185" s="6">
        <f>VLOOKUP(I181,I$1:$L$601,1,FALSE)</f>
        <v>45829</v>
      </c>
      <c r="AH185" s="6" t="str">
        <f>VLOOKUP(J181,J$1:$L$601,1,FALSE)</f>
        <v>DELHI</v>
      </c>
      <c r="AI185" s="6" t="str">
        <f>VLOOKUP(K181,K$1:$L$601,1,FALSE)</f>
        <v>B2B</v>
      </c>
      <c r="AJ185" s="6">
        <f>VLOOKUP(L181,L$1:$L$601,1,FALSE)</f>
        <v>1518.99</v>
      </c>
    </row>
    <row r="186" spans="1:36" x14ac:dyDescent="0.25">
      <c r="A186">
        <v>1189</v>
      </c>
      <c r="B186" t="s">
        <v>236</v>
      </c>
      <c r="C186" t="s">
        <v>36</v>
      </c>
      <c r="D186" t="s">
        <v>46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19</v>
      </c>
      <c r="K186" t="s">
        <v>16</v>
      </c>
      <c r="L186" s="2">
        <v>392.87</v>
      </c>
      <c r="Y186" s="6">
        <f>VLOOKUP(A182,A$1:$L$601,1,FALSE)</f>
        <v>1185</v>
      </c>
      <c r="Z186" s="6" t="str">
        <f>VLOOKUP(B182,B$1:$L$601,1,FALSE)</f>
        <v>Stacy Brady</v>
      </c>
      <c r="AA186" s="6" t="str">
        <f>VLOOKUP(C182,C$1:$L$601,1,FALSE)</f>
        <v>Accessories</v>
      </c>
      <c r="AB186" s="6" t="str">
        <f>VLOOKUP(D182,D$1:$L$601,1,FALSE)</f>
        <v>Belts</v>
      </c>
      <c r="AC186" s="6">
        <f>VLOOKUP(E182,E$1:$L$601,1,FALSE)</f>
        <v>2.4893617021276597</v>
      </c>
      <c r="AD186" s="6">
        <f>VLOOKUP(F182,F$1:$L$601,1,FALSE)</f>
        <v>2706.1301960784322</v>
      </c>
      <c r="AE186" s="6">
        <f>VLOOKUP(G182,G$1:$L$601,1,FALSE)</f>
        <v>0.70297297297297334</v>
      </c>
      <c r="AF186" s="6">
        <f>VLOOKUP(H182,H$1:$L$601,1,FALSE)</f>
        <v>0</v>
      </c>
      <c r="AG186" s="6">
        <f>VLOOKUP(I182,I$1:$L$601,1,FALSE)</f>
        <v>45791</v>
      </c>
      <c r="AH186" s="6" t="str">
        <f>VLOOKUP(J182,J$1:$L$601,1,FALSE)</f>
        <v>DELHI</v>
      </c>
      <c r="AI186" s="6" t="str">
        <f>VLOOKUP(K182,K$1:$L$601,1,FALSE)</f>
        <v>B2C</v>
      </c>
      <c r="AJ186" s="6">
        <f>VLOOKUP(L182,L$1:$L$601,1,FALSE)</f>
        <v>-445.19</v>
      </c>
    </row>
    <row r="187" spans="1:36" x14ac:dyDescent="0.25">
      <c r="A187">
        <v>1190</v>
      </c>
      <c r="B187" t="s">
        <v>237</v>
      </c>
      <c r="C187" t="s">
        <v>21</v>
      </c>
      <c r="D187" t="s">
        <v>22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48</v>
      </c>
      <c r="K187" t="s">
        <v>24</v>
      </c>
      <c r="L187" s="2">
        <v>75.040000000000006</v>
      </c>
      <c r="Y187" s="6">
        <f>VLOOKUP(A183,A$1:$L$601,1,FALSE)</f>
        <v>1186</v>
      </c>
      <c r="Z187" s="6" t="str">
        <f>VLOOKUP(B183,B$1:$L$601,1,FALSE)</f>
        <v>Daniel Patton</v>
      </c>
      <c r="AA187" s="6" t="str">
        <f>VLOOKUP(C183,C$1:$L$601,1,FALSE)</f>
        <v>Jeans</v>
      </c>
      <c r="AB187" s="6" t="str">
        <f>VLOOKUP(D183,D$1:$L$601,1,FALSE)</f>
        <v>Boyfriend Jeans</v>
      </c>
      <c r="AC187" s="6">
        <f>VLOOKUP(E183,E$1:$L$601,1,FALSE)</f>
        <v>6</v>
      </c>
      <c r="AD187" s="6">
        <f>VLOOKUP(F183,F$1:$L$601,1,FALSE)</f>
        <v>2676.4254237288142</v>
      </c>
      <c r="AE187" s="6">
        <f>VLOOKUP(G183,G$1:$L$601,1,FALSE)</f>
        <v>0.71</v>
      </c>
      <c r="AF187" s="6">
        <f>VLOOKUP(H183,H$1:$L$601,1,FALSE)</f>
        <v>0</v>
      </c>
      <c r="AG187" s="6">
        <f>VLOOKUP(I183,I$1:$L$601,1,FALSE)</f>
        <v>45997</v>
      </c>
      <c r="AH187" s="6" t="str">
        <f>VLOOKUP(J183,J$1:$L$601,1,FALSE)</f>
        <v>BANGALORE</v>
      </c>
      <c r="AI187" s="6" t="str">
        <f>VLOOKUP(K183,K$1:$L$601,1,FALSE)</f>
        <v>B2B</v>
      </c>
      <c r="AJ187" s="6">
        <f>VLOOKUP(L183,L$1:$L$601,1,FALSE)</f>
        <v>-40.479999999999997</v>
      </c>
    </row>
    <row r="188" spans="1:36" x14ac:dyDescent="0.25">
      <c r="A188">
        <v>1191</v>
      </c>
      <c r="B188" t="s">
        <v>238</v>
      </c>
      <c r="C188" t="s">
        <v>31</v>
      </c>
      <c r="D188" t="s">
        <v>32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23</v>
      </c>
      <c r="K188" t="s">
        <v>16</v>
      </c>
      <c r="L188" s="2">
        <v>2860.2</v>
      </c>
      <c r="Y188" s="6">
        <f>VLOOKUP(A184,A$1:$L$601,1,FALSE)</f>
        <v>1187</v>
      </c>
      <c r="Z188" s="6" t="str">
        <f>VLOOKUP(B184,B$1:$L$601,1,FALSE)</f>
        <v>Karen Smith</v>
      </c>
      <c r="AA188" s="6" t="str">
        <f>VLOOKUP(C184,C$1:$L$601,1,FALSE)</f>
        <v>Accessories</v>
      </c>
      <c r="AB188" s="6" t="str">
        <f>VLOOKUP(D184,D$1:$L$601,1,FALSE)</f>
        <v>Belts</v>
      </c>
      <c r="AC188" s="6">
        <f>VLOOKUP(E184,E$1:$L$601,1,FALSE)</f>
        <v>3</v>
      </c>
      <c r="AD188" s="6">
        <f>VLOOKUP(F184,F$1:$L$601,1,FALSE)</f>
        <v>3810.89</v>
      </c>
      <c r="AE188" s="6">
        <f>VLOOKUP(G184,G$1:$L$601,1,FALSE)</f>
        <v>0.70297297297297334</v>
      </c>
      <c r="AF188" s="6">
        <f>VLOOKUP(H184,H$1:$L$601,1,FALSE)</f>
        <v>0</v>
      </c>
      <c r="AG188" s="6">
        <f>VLOOKUP(I184,I$1:$L$601,1,FALSE)</f>
        <v>45626.838268792708</v>
      </c>
      <c r="AH188" s="6" t="str">
        <f>VLOOKUP(J184,J$1:$L$601,1,FALSE)</f>
        <v>MUMBAI</v>
      </c>
      <c r="AI188" s="6" t="str">
        <f>VLOOKUP(K184,K$1:$L$601,1,FALSE)</f>
        <v>B2C</v>
      </c>
      <c r="AJ188" s="6">
        <f>VLOOKUP(L184,L$1:$L$601,1,FALSE)</f>
        <v>1153.72</v>
      </c>
    </row>
    <row r="189" spans="1:36" x14ac:dyDescent="0.25">
      <c r="A189">
        <v>1193</v>
      </c>
      <c r="B189" t="s">
        <v>239</v>
      </c>
      <c r="C189" t="s">
        <v>41</v>
      </c>
      <c r="D189" t="s">
        <v>42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48</v>
      </c>
      <c r="K189" t="s">
        <v>24</v>
      </c>
      <c r="L189" s="2">
        <v>-682.74</v>
      </c>
      <c r="Y189" s="6">
        <f>VLOOKUP(A185,A$1:$L$601,1,FALSE)</f>
        <v>1188</v>
      </c>
      <c r="Z189" s="6" t="str">
        <f>VLOOKUP(B185,B$1:$L$601,1,FALSE)</f>
        <v>Maria Morrow</v>
      </c>
      <c r="AA189" s="6" t="str">
        <f>VLOOKUP(C185,C$1:$L$601,1,FALSE)</f>
        <v>Accessories</v>
      </c>
      <c r="AB189" s="6" t="str">
        <f>VLOOKUP(D185,D$1:$L$601,1,FALSE)</f>
        <v>Belts</v>
      </c>
      <c r="AC189" s="6">
        <f>VLOOKUP(E185,E$1:$L$601,1,FALSE)</f>
        <v>6</v>
      </c>
      <c r="AD189" s="6">
        <f>VLOOKUP(F185,F$1:$L$601,1,FALSE)</f>
        <v>4910.28</v>
      </c>
      <c r="AE189" s="6">
        <f>VLOOKUP(G185,G$1:$L$601,1,FALSE)</f>
        <v>0.12</v>
      </c>
      <c r="AF189" s="6">
        <f>VLOOKUP(H185,H$1:$L$601,1,FALSE)</f>
        <v>25926.28</v>
      </c>
      <c r="AG189" s="6">
        <f>VLOOKUP(I185,I$1:$L$601,1,FALSE)</f>
        <v>45531</v>
      </c>
      <c r="AH189" s="6" t="str">
        <f>VLOOKUP(J185,J$1:$L$601,1,FALSE)</f>
        <v>BANGALORE</v>
      </c>
      <c r="AI189" s="6" t="str">
        <f>VLOOKUP(K185,K$1:$L$601,1,FALSE)</f>
        <v>B2C</v>
      </c>
      <c r="AJ189" s="6">
        <f>VLOOKUP(L185,L$1:$L$601,1,FALSE)</f>
        <v>2089.25</v>
      </c>
    </row>
    <row r="190" spans="1:36" x14ac:dyDescent="0.25">
      <c r="A190">
        <v>1195</v>
      </c>
      <c r="B190" t="s">
        <v>240</v>
      </c>
      <c r="C190" t="s">
        <v>41</v>
      </c>
      <c r="D190" t="s">
        <v>63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23</v>
      </c>
      <c r="K190" t="s">
        <v>16</v>
      </c>
      <c r="L190" s="2">
        <v>1059.17</v>
      </c>
      <c r="Y190" s="6">
        <f>VLOOKUP(A186,A$1:$L$601,1,FALSE)</f>
        <v>1189</v>
      </c>
      <c r="Z190" s="6" t="str">
        <f>VLOOKUP(B186,B$1:$L$601,1,FALSE)</f>
        <v>Elizabeth Johnson</v>
      </c>
      <c r="AA190" s="6" t="str">
        <f>VLOOKUP(C186,C$1:$L$601,1,FALSE)</f>
        <v>T-Shirts</v>
      </c>
      <c r="AB190" s="6" t="str">
        <f>VLOOKUP(D186,D$1:$L$601,1,FALSE)</f>
        <v>Oversized T-Shirt</v>
      </c>
      <c r="AC190" s="6">
        <f>VLOOKUP(E186,E$1:$L$601,1,FALSE)</f>
        <v>1.5178571428571428</v>
      </c>
      <c r="AD190" s="6">
        <f>VLOOKUP(F186,F$1:$L$601,1,FALSE)</f>
        <v>4808.1000000000004</v>
      </c>
      <c r="AE190" s="6">
        <f>VLOOKUP(G186,G$1:$L$601,1,FALSE)</f>
        <v>0.65787878787878773</v>
      </c>
      <c r="AF190" s="6">
        <f>VLOOKUP(H186,H$1:$L$601,1,FALSE)</f>
        <v>0</v>
      </c>
      <c r="AG190" s="6">
        <f>VLOOKUP(I186,I$1:$L$601,1,FALSE)</f>
        <v>45685</v>
      </c>
      <c r="AH190" s="6" t="str">
        <f>VLOOKUP(J186,J$1:$L$601,1,FALSE)</f>
        <v>AHMEDABAD</v>
      </c>
      <c r="AI190" s="6" t="str">
        <f>VLOOKUP(K186,K$1:$L$601,1,FALSE)</f>
        <v>B2C</v>
      </c>
      <c r="AJ190" s="6">
        <f>VLOOKUP(L186,L$1:$L$601,1,FALSE)</f>
        <v>392.87</v>
      </c>
    </row>
    <row r="191" spans="1:36" x14ac:dyDescent="0.25">
      <c r="A191">
        <v>1196</v>
      </c>
      <c r="B191" t="s">
        <v>241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33</v>
      </c>
      <c r="K191" t="s">
        <v>24</v>
      </c>
      <c r="L191" s="2">
        <v>1539.5</v>
      </c>
      <c r="Y191" s="6">
        <f>VLOOKUP(A187,A$1:$L$601,1,FALSE)</f>
        <v>1190</v>
      </c>
      <c r="Z191" s="6" t="str">
        <f>VLOOKUP(B187,B$1:$L$601,1,FALSE)</f>
        <v>Antonio Boyd Phd</v>
      </c>
      <c r="AA191" s="6" t="str">
        <f>VLOOKUP(C187,C$1:$L$601,1,FALSE)</f>
        <v>Jackets</v>
      </c>
      <c r="AB191" s="6" t="str">
        <f>VLOOKUP(D187,D$1:$L$601,1,FALSE)</f>
        <v>Puffer Coat</v>
      </c>
      <c r="AC191" s="6">
        <f>VLOOKUP(E187,E$1:$L$601,1,FALSE)</f>
        <v>1.8076923076923077</v>
      </c>
      <c r="AD191" s="6">
        <f>VLOOKUP(F187,F$1:$L$601,1,FALSE)</f>
        <v>2811.5702272727276</v>
      </c>
      <c r="AE191" s="6">
        <f>VLOOKUP(G187,G$1:$L$601,1,FALSE)</f>
        <v>0.63</v>
      </c>
      <c r="AF191" s="6">
        <f>VLOOKUP(H187,H$1:$L$601,1,FALSE)</f>
        <v>0</v>
      </c>
      <c r="AG191" s="6">
        <f>VLOOKUP(I187,I$1:$L$601,1,FALSE)</f>
        <v>45804</v>
      </c>
      <c r="AH191" s="6" t="str">
        <f>VLOOKUP(J187,J$1:$L$601,1,FALSE)</f>
        <v>PUNE</v>
      </c>
      <c r="AI191" s="6" t="str">
        <f>VLOOKUP(K187,K$1:$L$601,1,FALSE)</f>
        <v>B2B</v>
      </c>
      <c r="AJ191" s="6">
        <f>VLOOKUP(L187,L$1:$L$601,1,FALSE)</f>
        <v>75.040000000000006</v>
      </c>
    </row>
    <row r="192" spans="1:36" x14ac:dyDescent="0.25">
      <c r="A192">
        <v>1197</v>
      </c>
      <c r="B192" t="s">
        <v>242</v>
      </c>
      <c r="C192" t="s">
        <v>21</v>
      </c>
      <c r="D192" t="s">
        <v>87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33</v>
      </c>
      <c r="K192" t="s">
        <v>24</v>
      </c>
      <c r="L192" s="2">
        <v>650.97</v>
      </c>
      <c r="Y192" s="6">
        <f>VLOOKUP(A188,A$1:$L$601,1,FALSE)</f>
        <v>1191</v>
      </c>
      <c r="Z192" s="6" t="str">
        <f>VLOOKUP(B188,B$1:$L$601,1,FALSE)</f>
        <v>John Tucker</v>
      </c>
      <c r="AA192" s="6" t="str">
        <f>VLOOKUP(C188,C$1:$L$601,1,FALSE)</f>
        <v>Accessories</v>
      </c>
      <c r="AB192" s="6" t="str">
        <f>VLOOKUP(D188,D$1:$L$601,1,FALSE)</f>
        <v>Belts</v>
      </c>
      <c r="AC192" s="6">
        <f>VLOOKUP(E188,E$1:$L$601,1,FALSE)</f>
        <v>2.4893617021276597</v>
      </c>
      <c r="AD192" s="6">
        <f>VLOOKUP(F188,F$1:$L$601,1,FALSE)</f>
        <v>2469.87</v>
      </c>
      <c r="AE192" s="6">
        <f>VLOOKUP(G188,G$1:$L$601,1,FALSE)</f>
        <v>0.56000000000000005</v>
      </c>
      <c r="AF192" s="6">
        <f>VLOOKUP(H188,H$1:$L$601,1,FALSE)</f>
        <v>0</v>
      </c>
      <c r="AG192" s="6">
        <f>VLOOKUP(I188,I$1:$L$601,1,FALSE)</f>
        <v>45626.838268792708</v>
      </c>
      <c r="AH192" s="6" t="str">
        <f>VLOOKUP(J188,J$1:$L$601,1,FALSE)</f>
        <v>MUMBAI</v>
      </c>
      <c r="AI192" s="6" t="str">
        <f>VLOOKUP(K188,K$1:$L$601,1,FALSE)</f>
        <v>B2C</v>
      </c>
      <c r="AJ192" s="6">
        <f>VLOOKUP(L188,L$1:$L$601,1,FALSE)</f>
        <v>2860.2</v>
      </c>
    </row>
    <row r="193" spans="1:36" x14ac:dyDescent="0.25">
      <c r="A193">
        <v>1198</v>
      </c>
      <c r="B193" t="s">
        <v>243</v>
      </c>
      <c r="C193" t="s">
        <v>31</v>
      </c>
      <c r="D193" t="s">
        <v>44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  <c r="Y193" s="6">
        <f>VLOOKUP(A189,A$1:$L$601,1,FALSE)</f>
        <v>1193</v>
      </c>
      <c r="Z193" s="6" t="str">
        <f>VLOOKUP(B189,B$1:$L$601,1,FALSE)</f>
        <v>Christine Lopez</v>
      </c>
      <c r="AA193" s="6" t="str">
        <f>VLOOKUP(C189,C$1:$L$601,1,FALSE)</f>
        <v>Dresses</v>
      </c>
      <c r="AB193" s="6" t="str">
        <f>VLOOKUP(D189,D$1:$L$601,1,FALSE)</f>
        <v>Casual Midi</v>
      </c>
      <c r="AC193" s="6">
        <f>VLOOKUP(E189,E$1:$L$601,1,FALSE)</f>
        <v>2.1864406779661016</v>
      </c>
      <c r="AD193" s="6">
        <f>VLOOKUP(F189,F$1:$L$601,1,FALSE)</f>
        <v>3031.06</v>
      </c>
      <c r="AE193" s="6">
        <f>VLOOKUP(G189,G$1:$L$601,1,FALSE)</f>
        <v>0.55000000000000004</v>
      </c>
      <c r="AF193" s="6">
        <f>VLOOKUP(H189,H$1:$L$601,1,FALSE)</f>
        <v>0</v>
      </c>
      <c r="AG193" s="6">
        <f>VLOOKUP(I189,I$1:$L$601,1,FALSE)</f>
        <v>45512</v>
      </c>
      <c r="AH193" s="6" t="str">
        <f>VLOOKUP(J189,J$1:$L$601,1,FALSE)</f>
        <v>PUNE</v>
      </c>
      <c r="AI193" s="6" t="str">
        <f>VLOOKUP(K189,K$1:$L$601,1,FALSE)</f>
        <v>B2B</v>
      </c>
      <c r="AJ193" s="6">
        <f>VLOOKUP(L189,L$1:$L$601,1,FALSE)</f>
        <v>-682.74</v>
      </c>
    </row>
    <row r="194" spans="1:36" x14ac:dyDescent="0.25">
      <c r="A194">
        <v>1199</v>
      </c>
      <c r="B194" t="s">
        <v>244</v>
      </c>
      <c r="C194" t="s">
        <v>27</v>
      </c>
      <c r="D194" t="s">
        <v>85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29</v>
      </c>
      <c r="K194" t="s">
        <v>16</v>
      </c>
      <c r="L194" s="2">
        <v>2637.77</v>
      </c>
      <c r="Y194" s="6">
        <f>VLOOKUP(A190,A$1:$L$601,1,FALSE)</f>
        <v>1195</v>
      </c>
      <c r="Z194" s="6" t="str">
        <f>VLOOKUP(B190,B$1:$L$601,1,FALSE)</f>
        <v>Christine Rodgers</v>
      </c>
      <c r="AA194" s="6" t="str">
        <f>VLOOKUP(C190,C$1:$L$601,1,FALSE)</f>
        <v>Dresses</v>
      </c>
      <c r="AB194" s="6" t="str">
        <f>VLOOKUP(D190,D$1:$L$601,1,FALSE)</f>
        <v>Wrap Dress</v>
      </c>
      <c r="AC194" s="6">
        <f>VLOOKUP(E190,E$1:$L$601,1,FALSE)</f>
        <v>2.1864406779661016</v>
      </c>
      <c r="AD194" s="6">
        <f>VLOOKUP(F190,F$1:$L$601,1,FALSE)</f>
        <v>2949.9901960784309</v>
      </c>
      <c r="AE194" s="6">
        <f>VLOOKUP(G190,G$1:$L$601,1,FALSE)</f>
        <v>1.2E-2</v>
      </c>
      <c r="AF194" s="6">
        <f>VLOOKUP(H190,H$1:$L$601,1,FALSE)</f>
        <v>0</v>
      </c>
      <c r="AG194" s="6">
        <f>VLOOKUP(I190,I$1:$L$601,1,FALSE)</f>
        <v>45626.838268792708</v>
      </c>
      <c r="AH194" s="6" t="str">
        <f>VLOOKUP(J190,J$1:$L$601,1,FALSE)</f>
        <v>MUMBAI</v>
      </c>
      <c r="AI194" s="6" t="str">
        <f>VLOOKUP(K190,K$1:$L$601,1,FALSE)</f>
        <v>B2C</v>
      </c>
      <c r="AJ194" s="6">
        <f>VLOOKUP(L190,L$1:$L$601,1,FALSE)</f>
        <v>1059.17</v>
      </c>
    </row>
    <row r="195" spans="1:36" x14ac:dyDescent="0.25">
      <c r="A195">
        <v>1200</v>
      </c>
      <c r="B195" t="s">
        <v>245</v>
      </c>
      <c r="C195" t="s">
        <v>27</v>
      </c>
      <c r="D195" t="s">
        <v>55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33</v>
      </c>
      <c r="K195" t="s">
        <v>16</v>
      </c>
      <c r="L195" s="2">
        <v>2782.21</v>
      </c>
      <c r="Y195" s="6">
        <f>VLOOKUP(A191,A$1:$L$601,1,FALSE)</f>
        <v>1196</v>
      </c>
      <c r="Z195" s="6" t="str">
        <f>VLOOKUP(B191,B$1:$L$601,1,FALSE)</f>
        <v>Michael Hawkins</v>
      </c>
      <c r="AA195" s="6" t="str">
        <f>VLOOKUP(C191,C$1:$L$601,1,FALSE)</f>
        <v>Jeans</v>
      </c>
      <c r="AB195" s="6" t="str">
        <f>VLOOKUP(D191,D$1:$L$601,1,FALSE)</f>
        <v>Slim Fit Jeans</v>
      </c>
      <c r="AC195" s="6">
        <f>VLOOKUP(E191,E$1:$L$601,1,FALSE)</f>
        <v>2.1052631578947367</v>
      </c>
      <c r="AD195" s="6">
        <f>VLOOKUP(F191,F$1:$L$601,1,FALSE)</f>
        <v>3959.06</v>
      </c>
      <c r="AE195" s="6">
        <f>VLOOKUP(G191,G$1:$L$601,1,FALSE)</f>
        <v>0.37</v>
      </c>
      <c r="AF195" s="6">
        <f>VLOOKUP(H191,H$1:$L$601,1,FALSE)</f>
        <v>0</v>
      </c>
      <c r="AG195" s="6">
        <f>VLOOKUP(I191,I$1:$L$601,1,FALSE)</f>
        <v>45791</v>
      </c>
      <c r="AH195" s="6" t="str">
        <f>VLOOKUP(J191,J$1:$L$601,1,FALSE)</f>
        <v>HYDERBAD</v>
      </c>
      <c r="AI195" s="6" t="str">
        <f>VLOOKUP(K191,K$1:$L$601,1,FALSE)</f>
        <v>B2B</v>
      </c>
      <c r="AJ195" s="6">
        <f>VLOOKUP(L191,L$1:$L$601,1,FALSE)</f>
        <v>1539.5</v>
      </c>
    </row>
    <row r="196" spans="1:36" x14ac:dyDescent="0.25">
      <c r="A196">
        <v>1201</v>
      </c>
      <c r="B196" t="s">
        <v>246</v>
      </c>
      <c r="C196" t="s">
        <v>21</v>
      </c>
      <c r="D196" t="s">
        <v>79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48</v>
      </c>
      <c r="K196" t="s">
        <v>24</v>
      </c>
      <c r="L196" s="2">
        <v>1023.04</v>
      </c>
      <c r="Y196" s="6">
        <f>VLOOKUP(A192,A$1:$L$601,1,FALSE)</f>
        <v>1197</v>
      </c>
      <c r="Z196" s="6" t="str">
        <f>VLOOKUP(B192,B$1:$L$601,1,FALSE)</f>
        <v>Dean Jimenez</v>
      </c>
      <c r="AA196" s="6" t="str">
        <f>VLOOKUP(C192,C$1:$L$601,1,FALSE)</f>
        <v>Jackets</v>
      </c>
      <c r="AB196" s="6" t="str">
        <f>VLOOKUP(D192,D$1:$L$601,1,FALSE)</f>
        <v>Denim Jacket</v>
      </c>
      <c r="AC196" s="6">
        <f>VLOOKUP(E192,E$1:$L$601,1,FALSE)</f>
        <v>1</v>
      </c>
      <c r="AD196" s="6">
        <f>VLOOKUP(F192,F$1:$L$601,1,FALSE)</f>
        <v>2811.5702272727276</v>
      </c>
      <c r="AE196" s="6">
        <f>VLOOKUP(G192,G$1:$L$601,1,FALSE)</f>
        <v>0.69969696969696993</v>
      </c>
      <c r="AF196" s="6">
        <f>VLOOKUP(H192,H$1:$L$601,1,FALSE)</f>
        <v>0</v>
      </c>
      <c r="AG196" s="6">
        <f>VLOOKUP(I192,I$1:$L$601,1,FALSE)</f>
        <v>45626.838268792708</v>
      </c>
      <c r="AH196" s="6" t="str">
        <f>VLOOKUP(J192,J$1:$L$601,1,FALSE)</f>
        <v>HYDERBAD</v>
      </c>
      <c r="AI196" s="6" t="str">
        <f>VLOOKUP(K192,K$1:$L$601,1,FALSE)</f>
        <v>B2B</v>
      </c>
      <c r="AJ196" s="6">
        <f>VLOOKUP(L192,L$1:$L$601,1,FALSE)</f>
        <v>650.97</v>
      </c>
    </row>
    <row r="197" spans="1:36" x14ac:dyDescent="0.25">
      <c r="A197">
        <v>1202</v>
      </c>
      <c r="B197" t="s">
        <v>247</v>
      </c>
      <c r="C197" t="s">
        <v>31</v>
      </c>
      <c r="D197" t="s">
        <v>44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29</v>
      </c>
      <c r="K197" t="s">
        <v>16</v>
      </c>
      <c r="L197" s="2">
        <v>-207.53</v>
      </c>
      <c r="Y197" s="6">
        <f>VLOOKUP(A193,A$1:$L$601,1,FALSE)</f>
        <v>1198</v>
      </c>
      <c r="Z197" s="6" t="str">
        <f>VLOOKUP(B193,B$1:$L$601,1,FALSE)</f>
        <v>Jacqueline Erickson</v>
      </c>
      <c r="AA197" s="6" t="str">
        <f>VLOOKUP(C193,C$1:$L$601,1,FALSE)</f>
        <v>Accessories</v>
      </c>
      <c r="AB197" s="6" t="str">
        <f>VLOOKUP(D193,D$1:$L$601,1,FALSE)</f>
        <v>Sunglasses</v>
      </c>
      <c r="AC197" s="6">
        <f>VLOOKUP(E193,E$1:$L$601,1,FALSE)</f>
        <v>3</v>
      </c>
      <c r="AD197" s="6">
        <f>VLOOKUP(F193,F$1:$L$601,1,FALSE)</f>
        <v>3594.97</v>
      </c>
      <c r="AE197" s="6">
        <f>VLOOKUP(G193,G$1:$L$601,1,FALSE)</f>
        <v>0.70297297297297334</v>
      </c>
      <c r="AF197" s="6">
        <f>VLOOKUP(H193,H$1:$L$601,1,FALSE)</f>
        <v>0</v>
      </c>
      <c r="AG197" s="6">
        <f>VLOOKUP(I193,I$1:$L$601,1,FALSE)</f>
        <v>45764</v>
      </c>
      <c r="AH197" s="6" t="str">
        <f>VLOOKUP(J193,J$1:$L$601,1,FALSE)</f>
        <v>DELHI</v>
      </c>
      <c r="AI197" s="6" t="str">
        <f>VLOOKUP(K193,K$1:$L$601,1,FALSE)</f>
        <v>B2C</v>
      </c>
      <c r="AJ197" s="6">
        <f>VLOOKUP(L193,L$1:$L$601,1,FALSE)</f>
        <v>2422.27</v>
      </c>
    </row>
    <row r="198" spans="1:36" x14ac:dyDescent="0.25">
      <c r="A198">
        <v>1203</v>
      </c>
      <c r="B198" t="s">
        <v>248</v>
      </c>
      <c r="C198" t="s">
        <v>36</v>
      </c>
      <c r="D198" t="s">
        <v>37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33</v>
      </c>
      <c r="K198" t="s">
        <v>16</v>
      </c>
      <c r="L198" s="2">
        <v>657.59</v>
      </c>
      <c r="Y198" s="6">
        <f>VLOOKUP(A194,A$1:$L$601,1,FALSE)</f>
        <v>1199</v>
      </c>
      <c r="Z198" s="6" t="str">
        <f>VLOOKUP(B194,B$1:$L$601,1,FALSE)</f>
        <v>Jade Chavez</v>
      </c>
      <c r="AA198" s="6" t="str">
        <f>VLOOKUP(C194,C$1:$L$601,1,FALSE)</f>
        <v>Shoes</v>
      </c>
      <c r="AB198" s="6" t="str">
        <f>VLOOKUP(D194,D$1:$L$601,1,FALSE)</f>
        <v>Boots</v>
      </c>
      <c r="AC198" s="6">
        <f>VLOOKUP(E194,E$1:$L$601,1,FALSE)</f>
        <v>1.6216216216216217</v>
      </c>
      <c r="AD198" s="6">
        <f>VLOOKUP(F194,F$1:$L$601,1,FALSE)</f>
        <v>2317.1</v>
      </c>
      <c r="AE198" s="6">
        <f>VLOOKUP(G194,G$1:$L$601,1,FALSE)</f>
        <v>0.59740740740740739</v>
      </c>
      <c r="AF198" s="6">
        <f>VLOOKUP(H194,H$1:$L$601,1,FALSE)</f>
        <v>0</v>
      </c>
      <c r="AG198" s="6">
        <f>VLOOKUP(I194,I$1:$L$601,1,FALSE)</f>
        <v>45690</v>
      </c>
      <c r="AH198" s="6" t="str">
        <f>VLOOKUP(J194,J$1:$L$601,1,FALSE)</f>
        <v>BANGALORE</v>
      </c>
      <c r="AI198" s="6" t="str">
        <f>VLOOKUP(K194,K$1:$L$601,1,FALSE)</f>
        <v>B2C</v>
      </c>
      <c r="AJ198" s="6">
        <f>VLOOKUP(L194,L$1:$L$601,1,FALSE)</f>
        <v>2637.77</v>
      </c>
    </row>
    <row r="199" spans="1:36" x14ac:dyDescent="0.25">
      <c r="A199">
        <v>1204</v>
      </c>
      <c r="B199" t="s">
        <v>249</v>
      </c>
      <c r="C199" t="s">
        <v>27</v>
      </c>
      <c r="D199" t="s">
        <v>65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48</v>
      </c>
      <c r="K199" t="s">
        <v>24</v>
      </c>
      <c r="L199" s="2">
        <v>1867.53</v>
      </c>
      <c r="Y199" s="6">
        <f>VLOOKUP(A195,A$1:$L$601,1,FALSE)</f>
        <v>1200</v>
      </c>
      <c r="Z199" s="6" t="str">
        <f>VLOOKUP(B195,B$1:$L$601,1,FALSE)</f>
        <v>Laura Green</v>
      </c>
      <c r="AA199" s="6" t="str">
        <f>VLOOKUP(C195,C$1:$L$601,1,FALSE)</f>
        <v>Shoes</v>
      </c>
      <c r="AB199" s="6" t="str">
        <f>VLOOKUP(D195,D$1:$L$601,1,FALSE)</f>
        <v>Sneakers</v>
      </c>
      <c r="AC199" s="6">
        <f>VLOOKUP(E195,E$1:$L$601,1,FALSE)</f>
        <v>4</v>
      </c>
      <c r="AD199" s="6">
        <f>VLOOKUP(F195,F$1:$L$601,1,FALSE)</f>
        <v>2557.4251351351354</v>
      </c>
      <c r="AE199" s="6">
        <f>VLOOKUP(G195,G$1:$L$601,1,FALSE)</f>
        <v>0.59740740740740739</v>
      </c>
      <c r="AF199" s="6">
        <f>VLOOKUP(H195,H$1:$L$601,1,FALSE)</f>
        <v>0</v>
      </c>
      <c r="AG199" s="6">
        <f>VLOOKUP(I195,I$1:$L$601,1,FALSE)</f>
        <v>45626.838268792708</v>
      </c>
      <c r="AH199" s="6" t="str">
        <f>VLOOKUP(J195,J$1:$L$601,1,FALSE)</f>
        <v>HYDERBAD</v>
      </c>
      <c r="AI199" s="6" t="str">
        <f>VLOOKUP(K195,K$1:$L$601,1,FALSE)</f>
        <v>B2C</v>
      </c>
      <c r="AJ199" s="6">
        <f>VLOOKUP(L195,L$1:$L$601,1,FALSE)</f>
        <v>2782.21</v>
      </c>
    </row>
    <row r="200" spans="1:36" x14ac:dyDescent="0.25">
      <c r="A200">
        <v>1205</v>
      </c>
      <c r="B200" t="s">
        <v>250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  <c r="Y200" s="6">
        <f>VLOOKUP(A196,A$1:$L$601,1,FALSE)</f>
        <v>1201</v>
      </c>
      <c r="Z200" s="6" t="str">
        <f>VLOOKUP(B196,B$1:$L$601,1,FALSE)</f>
        <v>Crystal Hayes Md</v>
      </c>
      <c r="AA200" s="6" t="str">
        <f>VLOOKUP(C196,C$1:$L$601,1,FALSE)</f>
        <v>Jackets</v>
      </c>
      <c r="AB200" s="6" t="str">
        <f>VLOOKUP(D196,D$1:$L$601,1,FALSE)</f>
        <v>Bomber Jacket</v>
      </c>
      <c r="AC200" s="6">
        <f>VLOOKUP(E196,E$1:$L$601,1,FALSE)</f>
        <v>2</v>
      </c>
      <c r="AD200" s="6">
        <f>VLOOKUP(F196,F$1:$L$601,1,FALSE)</f>
        <v>3507.85</v>
      </c>
      <c r="AE200" s="6">
        <f>VLOOKUP(G196,G$1:$L$601,1,FALSE)</f>
        <v>0.69969696969696993</v>
      </c>
      <c r="AF200" s="6">
        <f>VLOOKUP(H196,H$1:$L$601,1,FALSE)</f>
        <v>0</v>
      </c>
      <c r="AG200" s="6">
        <f>VLOOKUP(I196,I$1:$L$601,1,FALSE)</f>
        <v>45931</v>
      </c>
      <c r="AH200" s="6" t="str">
        <f>VLOOKUP(J196,J$1:$L$601,1,FALSE)</f>
        <v>PUNE</v>
      </c>
      <c r="AI200" s="6" t="str">
        <f>VLOOKUP(K196,K$1:$L$601,1,FALSE)</f>
        <v>B2B</v>
      </c>
      <c r="AJ200" s="6">
        <f>VLOOKUP(L196,L$1:$L$601,1,FALSE)</f>
        <v>1023.04</v>
      </c>
    </row>
    <row r="201" spans="1:36" x14ac:dyDescent="0.25">
      <c r="A201">
        <v>1206</v>
      </c>
      <c r="B201" t="s">
        <v>251</v>
      </c>
      <c r="C201" t="s">
        <v>36</v>
      </c>
      <c r="D201" t="s">
        <v>71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33</v>
      </c>
      <c r="K201" t="s">
        <v>16</v>
      </c>
      <c r="L201" s="2">
        <v>2472.2399999999998</v>
      </c>
      <c r="Y201" s="6">
        <f>VLOOKUP(A197,A$1:$L$601,1,FALSE)</f>
        <v>1202</v>
      </c>
      <c r="Z201" s="6" t="str">
        <f>VLOOKUP(B197,B$1:$L$601,1,FALSE)</f>
        <v>Amy Walker</v>
      </c>
      <c r="AA201" s="6" t="str">
        <f>VLOOKUP(C197,C$1:$L$601,1,FALSE)</f>
        <v>Accessories</v>
      </c>
      <c r="AB201" s="6" t="str">
        <f>VLOOKUP(D197,D$1:$L$601,1,FALSE)</f>
        <v>Sunglasses</v>
      </c>
      <c r="AC201" s="6">
        <f>VLOOKUP(E197,E$1:$L$601,1,FALSE)</f>
        <v>2.4893617021276597</v>
      </c>
      <c r="AD201" s="6">
        <f>VLOOKUP(F197,F$1:$L$601,1,FALSE)</f>
        <v>2706.1301960784322</v>
      </c>
      <c r="AE201" s="6">
        <f>VLOOKUP(G197,G$1:$L$601,1,FALSE)</f>
        <v>0.70297297297297334</v>
      </c>
      <c r="AF201" s="6">
        <f>VLOOKUP(H197,H$1:$L$601,1,FALSE)</f>
        <v>0</v>
      </c>
      <c r="AG201" s="6">
        <f>VLOOKUP(I197,I$1:$L$601,1,FALSE)</f>
        <v>45739</v>
      </c>
      <c r="AH201" s="6" t="str">
        <f>VLOOKUP(J197,J$1:$L$601,1,FALSE)</f>
        <v>BANGALORE</v>
      </c>
      <c r="AI201" s="6" t="str">
        <f>VLOOKUP(K197,K$1:$L$601,1,FALSE)</f>
        <v>B2C</v>
      </c>
      <c r="AJ201" s="6">
        <f>VLOOKUP(L197,L$1:$L$601,1,FALSE)</f>
        <v>-207.53</v>
      </c>
    </row>
    <row r="202" spans="1:36" x14ac:dyDescent="0.25">
      <c r="A202">
        <v>1207</v>
      </c>
      <c r="B202" t="s">
        <v>252</v>
      </c>
      <c r="C202" t="s">
        <v>13</v>
      </c>
      <c r="D202" t="s">
        <v>51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19</v>
      </c>
      <c r="K202" t="s">
        <v>24</v>
      </c>
      <c r="L202" s="2">
        <v>945.7</v>
      </c>
      <c r="Y202" s="6">
        <f>VLOOKUP(A198,A$1:$L$601,1,FALSE)</f>
        <v>1203</v>
      </c>
      <c r="Z202" s="6" t="str">
        <f>VLOOKUP(B198,B$1:$L$601,1,FALSE)</f>
        <v>Amy Gonzales</v>
      </c>
      <c r="AA202" s="6" t="str">
        <f>VLOOKUP(C198,C$1:$L$601,1,FALSE)</f>
        <v>T-Shirts</v>
      </c>
      <c r="AB202" s="6" t="str">
        <f>VLOOKUP(D198,D$1:$L$601,1,FALSE)</f>
        <v>Crop Top</v>
      </c>
      <c r="AC202" s="6">
        <f>VLOOKUP(E198,E$1:$L$601,1,FALSE)</f>
        <v>5</v>
      </c>
      <c r="AD202" s="6">
        <f>VLOOKUP(F198,F$1:$L$601,1,FALSE)</f>
        <v>2742.2927659574466</v>
      </c>
      <c r="AE202" s="6">
        <f>VLOOKUP(G198,G$1:$L$601,1,FALSE)</f>
        <v>0.65787878787878773</v>
      </c>
      <c r="AF202" s="6">
        <f>VLOOKUP(H198,H$1:$L$601,1,FALSE)</f>
        <v>0</v>
      </c>
      <c r="AG202" s="6">
        <f>VLOOKUP(I198,I$1:$L$601,1,FALSE)</f>
        <v>45671</v>
      </c>
      <c r="AH202" s="6" t="str">
        <f>VLOOKUP(J198,J$1:$L$601,1,FALSE)</f>
        <v>HYDERBAD</v>
      </c>
      <c r="AI202" s="6" t="str">
        <f>VLOOKUP(K198,K$1:$L$601,1,FALSE)</f>
        <v>B2C</v>
      </c>
      <c r="AJ202" s="6">
        <f>VLOOKUP(L198,L$1:$L$601,1,FALSE)</f>
        <v>657.59</v>
      </c>
    </row>
    <row r="203" spans="1:36" x14ac:dyDescent="0.25">
      <c r="A203">
        <v>1208</v>
      </c>
      <c r="B203" t="s">
        <v>253</v>
      </c>
      <c r="C203" t="s">
        <v>21</v>
      </c>
      <c r="D203" t="s">
        <v>87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23</v>
      </c>
      <c r="K203" t="s">
        <v>16</v>
      </c>
      <c r="L203" s="2">
        <v>648.73</v>
      </c>
      <c r="Y203" s="6">
        <f>VLOOKUP(A199,A$1:$L$601,1,FALSE)</f>
        <v>1204</v>
      </c>
      <c r="Z203" s="6" t="str">
        <f>VLOOKUP(B199,B$1:$L$601,1,FALSE)</f>
        <v>David Parker</v>
      </c>
      <c r="AA203" s="6" t="str">
        <f>VLOOKUP(C199,C$1:$L$601,1,FALSE)</f>
        <v>Shoes</v>
      </c>
      <c r="AB203" s="6" t="str">
        <f>VLOOKUP(D199,D$1:$L$601,1,FALSE)</f>
        <v>Slip-Ons</v>
      </c>
      <c r="AC203" s="6">
        <f>VLOOKUP(E199,E$1:$L$601,1,FALSE)</f>
        <v>1.6216216216216217</v>
      </c>
      <c r="AD203" s="6">
        <f>VLOOKUP(F199,F$1:$L$601,1,FALSE)</f>
        <v>4213.3999999999996</v>
      </c>
      <c r="AE203" s="6">
        <f>VLOOKUP(G199,G$1:$L$601,1,FALSE)</f>
        <v>0.59740740740740739</v>
      </c>
      <c r="AF203" s="6">
        <f>VLOOKUP(H199,H$1:$L$601,1,FALSE)</f>
        <v>0</v>
      </c>
      <c r="AG203" s="6">
        <f>VLOOKUP(I199,I$1:$L$601,1,FALSE)</f>
        <v>45637</v>
      </c>
      <c r="AH203" s="6" t="str">
        <f>VLOOKUP(J199,J$1:$L$601,1,FALSE)</f>
        <v>PUNE</v>
      </c>
      <c r="AI203" s="6" t="str">
        <f>VLOOKUP(K199,K$1:$L$601,1,FALSE)</f>
        <v>B2B</v>
      </c>
      <c r="AJ203" s="6">
        <f>VLOOKUP(L199,L$1:$L$601,1,FALSE)</f>
        <v>1867.53</v>
      </c>
    </row>
    <row r="204" spans="1:36" x14ac:dyDescent="0.25">
      <c r="A204">
        <v>1209</v>
      </c>
      <c r="B204" t="s">
        <v>254</v>
      </c>
      <c r="C204" t="s">
        <v>31</v>
      </c>
      <c r="D204" t="s">
        <v>119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19</v>
      </c>
      <c r="K204" t="s">
        <v>16</v>
      </c>
      <c r="L204" s="2">
        <v>1447.79</v>
      </c>
      <c r="Y204" s="6">
        <f>VLOOKUP(A200,A$1:$L$601,1,FALSE)</f>
        <v>1205</v>
      </c>
      <c r="Z204" s="6" t="str">
        <f>VLOOKUP(B200,B$1:$L$601,1,FALSE)</f>
        <v>Jennifer Williams</v>
      </c>
      <c r="AA204" s="6" t="str">
        <f>VLOOKUP(C200,C$1:$L$601,1,FALSE)</f>
        <v>Jeans</v>
      </c>
      <c r="AB204" s="6" t="str">
        <f>VLOOKUP(D200,D$1:$L$601,1,FALSE)</f>
        <v>Slim Fit Jeans</v>
      </c>
      <c r="AC204" s="6">
        <f>VLOOKUP(E200,E$1:$L$601,1,FALSE)</f>
        <v>2.1052631578947367</v>
      </c>
      <c r="AD204" s="6">
        <f>VLOOKUP(F200,F$1:$L$601,1,FALSE)</f>
        <v>696.49</v>
      </c>
      <c r="AE204" s="6">
        <f>VLOOKUP(G200,G$1:$L$601,1,FALSE)</f>
        <v>0.58977272727272723</v>
      </c>
      <c r="AF204" s="6">
        <f>VLOOKUP(H200,H$1:$L$601,1,FALSE)</f>
        <v>0</v>
      </c>
      <c r="AG204" s="6">
        <f>VLOOKUP(I200,I$1:$L$601,1,FALSE)</f>
        <v>45819</v>
      </c>
      <c r="AH204" s="6" t="str">
        <f>VLOOKUP(J200,J$1:$L$601,1,FALSE)</f>
        <v>DELHI</v>
      </c>
      <c r="AI204" s="6" t="str">
        <f>VLOOKUP(K200,K$1:$L$601,1,FALSE)</f>
        <v>B2C</v>
      </c>
      <c r="AJ204" s="6">
        <f>VLOOKUP(L200,L$1:$L$601,1,FALSE)</f>
        <v>-24.51</v>
      </c>
    </row>
    <row r="205" spans="1:36" x14ac:dyDescent="0.25">
      <c r="A205">
        <v>1210</v>
      </c>
      <c r="B205" t="s">
        <v>255</v>
      </c>
      <c r="C205" t="s">
        <v>31</v>
      </c>
      <c r="D205" t="s">
        <v>119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  <c r="Y205" s="6">
        <f>VLOOKUP(A201,A$1:$L$601,1,FALSE)</f>
        <v>1206</v>
      </c>
      <c r="Z205" s="6" t="str">
        <f>VLOOKUP(B201,B$1:$L$601,1,FALSE)</f>
        <v>Charles White</v>
      </c>
      <c r="AA205" s="6" t="str">
        <f>VLOOKUP(C201,C$1:$L$601,1,FALSE)</f>
        <v>T-Shirts</v>
      </c>
      <c r="AB205" s="6" t="str">
        <f>VLOOKUP(D201,D$1:$L$601,1,FALSE)</f>
        <v>Classic Tee</v>
      </c>
      <c r="AC205" s="6">
        <f>VLOOKUP(E201,E$1:$L$601,1,FALSE)</f>
        <v>0</v>
      </c>
      <c r="AD205" s="6">
        <f>VLOOKUP(F201,F$1:$L$601,1,FALSE)</f>
        <v>2742.2927659574466</v>
      </c>
      <c r="AE205" s="6">
        <f>VLOOKUP(G201,G$1:$L$601,1,FALSE)</f>
        <v>0.65787878787878773</v>
      </c>
      <c r="AF205" s="6">
        <f>VLOOKUP(H201,H$1:$L$601,1,FALSE)</f>
        <v>0</v>
      </c>
      <c r="AG205" s="6">
        <f>VLOOKUP(I201,I$1:$L$601,1,FALSE)</f>
        <v>45747</v>
      </c>
      <c r="AH205" s="6" t="str">
        <f>VLOOKUP(J201,J$1:$L$601,1,FALSE)</f>
        <v>HYDERBAD</v>
      </c>
      <c r="AI205" s="6" t="str">
        <f>VLOOKUP(K201,K$1:$L$601,1,FALSE)</f>
        <v>B2C</v>
      </c>
      <c r="AJ205" s="6">
        <f>VLOOKUP(L201,L$1:$L$601,1,FALSE)</f>
        <v>2472.2399999999998</v>
      </c>
    </row>
    <row r="206" spans="1:36" x14ac:dyDescent="0.25">
      <c r="A206">
        <v>1211</v>
      </c>
      <c r="B206" t="s">
        <v>256</v>
      </c>
      <c r="C206" t="s">
        <v>13</v>
      </c>
      <c r="D206" t="s">
        <v>101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19</v>
      </c>
      <c r="K206" t="s">
        <v>16</v>
      </c>
      <c r="L206" s="2">
        <v>2783.91</v>
      </c>
      <c r="Y206" s="6">
        <f>VLOOKUP(A202,A$1:$L$601,1,FALSE)</f>
        <v>1207</v>
      </c>
      <c r="Z206" s="6" t="str">
        <f>VLOOKUP(B202,B$1:$L$601,1,FALSE)</f>
        <v>Jerome Richardson</v>
      </c>
      <c r="AA206" s="6" t="str">
        <f>VLOOKUP(C202,C$1:$L$601,1,FALSE)</f>
        <v>Jeans</v>
      </c>
      <c r="AB206" s="6" t="str">
        <f>VLOOKUP(D202,D$1:$L$601,1,FALSE)</f>
        <v>Straight Cut</v>
      </c>
      <c r="AC206" s="6">
        <f>VLOOKUP(E202,E$1:$L$601,1,FALSE)</f>
        <v>2.1052631578947367</v>
      </c>
      <c r="AD206" s="6">
        <f>VLOOKUP(F202,F$1:$L$601,1,FALSE)</f>
        <v>563.14</v>
      </c>
      <c r="AE206" s="6">
        <f>VLOOKUP(G202,G$1:$L$601,1,FALSE)</f>
        <v>0.33</v>
      </c>
      <c r="AF206" s="6">
        <f>VLOOKUP(H202,H$1:$L$601,1,FALSE)</f>
        <v>0</v>
      </c>
      <c r="AG206" s="6">
        <f>VLOOKUP(I202,I$1:$L$601,1,FALSE)</f>
        <v>45433</v>
      </c>
      <c r="AH206" s="6" t="str">
        <f>VLOOKUP(J202,J$1:$L$601,1,FALSE)</f>
        <v>AHMEDABAD</v>
      </c>
      <c r="AI206" s="6" t="str">
        <f>VLOOKUP(K202,K$1:$L$601,1,FALSE)</f>
        <v>B2B</v>
      </c>
      <c r="AJ206" s="6">
        <f>VLOOKUP(L202,L$1:$L$601,1,FALSE)</f>
        <v>945.7</v>
      </c>
    </row>
    <row r="207" spans="1:36" x14ac:dyDescent="0.25">
      <c r="A207">
        <v>1212</v>
      </c>
      <c r="B207" t="s">
        <v>257</v>
      </c>
      <c r="C207" t="s">
        <v>27</v>
      </c>
      <c r="D207" t="s">
        <v>65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33</v>
      </c>
      <c r="K207" t="s">
        <v>16</v>
      </c>
      <c r="L207" s="2">
        <v>-656.35</v>
      </c>
      <c r="Y207" s="6">
        <f>VLOOKUP(A203,A$1:$L$601,1,FALSE)</f>
        <v>1208</v>
      </c>
      <c r="Z207" s="6" t="str">
        <f>VLOOKUP(B203,B$1:$L$601,1,FALSE)</f>
        <v>Jean Yoder</v>
      </c>
      <c r="AA207" s="6" t="str">
        <f>VLOOKUP(C203,C$1:$L$601,1,FALSE)</f>
        <v>Jackets</v>
      </c>
      <c r="AB207" s="6" t="str">
        <f>VLOOKUP(D203,D$1:$L$601,1,FALSE)</f>
        <v>Denim Jacket</v>
      </c>
      <c r="AC207" s="6">
        <f>VLOOKUP(E203,E$1:$L$601,1,FALSE)</f>
        <v>1</v>
      </c>
      <c r="AD207" s="6">
        <f>VLOOKUP(F203,F$1:$L$601,1,FALSE)</f>
        <v>2811.5702272727276</v>
      </c>
      <c r="AE207" s="6">
        <f>VLOOKUP(G203,G$1:$L$601,1,FALSE)</f>
        <v>0.69969696969696993</v>
      </c>
      <c r="AF207" s="6">
        <f>VLOOKUP(H203,H$1:$L$601,1,FALSE)</f>
        <v>0</v>
      </c>
      <c r="AG207" s="6">
        <f>VLOOKUP(I203,I$1:$L$601,1,FALSE)</f>
        <v>45667</v>
      </c>
      <c r="AH207" s="6" t="str">
        <f>VLOOKUP(J203,J$1:$L$601,1,FALSE)</f>
        <v>MUMBAI</v>
      </c>
      <c r="AI207" s="6" t="str">
        <f>VLOOKUP(K203,K$1:$L$601,1,FALSE)</f>
        <v>B2C</v>
      </c>
      <c r="AJ207" s="6">
        <f>VLOOKUP(L203,L$1:$L$601,1,FALSE)</f>
        <v>648.73</v>
      </c>
    </row>
    <row r="208" spans="1:36" x14ac:dyDescent="0.25">
      <c r="A208">
        <v>1213</v>
      </c>
      <c r="B208" t="s">
        <v>258</v>
      </c>
      <c r="C208" t="s">
        <v>36</v>
      </c>
      <c r="D208" t="s">
        <v>71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19</v>
      </c>
      <c r="K208" t="s">
        <v>16</v>
      </c>
      <c r="L208" s="2">
        <v>1093.98</v>
      </c>
      <c r="Y208" s="6">
        <f>VLOOKUP(A204,A$1:$L$601,1,FALSE)</f>
        <v>1209</v>
      </c>
      <c r="Z208" s="6" t="str">
        <f>VLOOKUP(B204,B$1:$L$601,1,FALSE)</f>
        <v>Theodore Yang</v>
      </c>
      <c r="AA208" s="6" t="str">
        <f>VLOOKUP(C204,C$1:$L$601,1,FALSE)</f>
        <v>Accessories</v>
      </c>
      <c r="AB208" s="6" t="str">
        <f>VLOOKUP(D204,D$1:$L$601,1,FALSE)</f>
        <v>Watches</v>
      </c>
      <c r="AC208" s="6">
        <f>VLOOKUP(E204,E$1:$L$601,1,FALSE)</f>
        <v>2.4893617021276597</v>
      </c>
      <c r="AD208" s="6">
        <f>VLOOKUP(F204,F$1:$L$601,1,FALSE)</f>
        <v>4029.87</v>
      </c>
      <c r="AE208" s="6">
        <f>VLOOKUP(G204,G$1:$L$601,1,FALSE)</f>
        <v>0.70297297297297334</v>
      </c>
      <c r="AF208" s="6">
        <f>VLOOKUP(H204,H$1:$L$601,1,FALSE)</f>
        <v>0</v>
      </c>
      <c r="AG208" s="6">
        <f>VLOOKUP(I204,I$1:$L$601,1,FALSE)</f>
        <v>45901</v>
      </c>
      <c r="AH208" s="6" t="str">
        <f>VLOOKUP(J204,J$1:$L$601,1,FALSE)</f>
        <v>AHMEDABAD</v>
      </c>
      <c r="AI208" s="6" t="str">
        <f>VLOOKUP(K204,K$1:$L$601,1,FALSE)</f>
        <v>B2C</v>
      </c>
      <c r="AJ208" s="6">
        <f>VLOOKUP(L204,L$1:$L$601,1,FALSE)</f>
        <v>1447.79</v>
      </c>
    </row>
    <row r="209" spans="1:36" x14ac:dyDescent="0.25">
      <c r="A209">
        <v>1214</v>
      </c>
      <c r="B209" t="s">
        <v>259</v>
      </c>
      <c r="C209" t="s">
        <v>21</v>
      </c>
      <c r="D209" t="s">
        <v>121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33</v>
      </c>
      <c r="K209" t="s">
        <v>16</v>
      </c>
      <c r="L209" s="2">
        <v>1851.89</v>
      </c>
      <c r="Y209" s="6">
        <f>VLOOKUP(A205,A$1:$L$601,1,FALSE)</f>
        <v>1210</v>
      </c>
      <c r="Z209" s="6" t="str">
        <f>VLOOKUP(B205,B$1:$L$601,1,FALSE)</f>
        <v>Rebecca Grant</v>
      </c>
      <c r="AA209" s="6" t="str">
        <f>VLOOKUP(C205,C$1:$L$601,1,FALSE)</f>
        <v>Accessories</v>
      </c>
      <c r="AB209" s="6" t="str">
        <f>VLOOKUP(D205,D$1:$L$601,1,FALSE)</f>
        <v>Watches</v>
      </c>
      <c r="AC209" s="6">
        <f>VLOOKUP(E205,E$1:$L$601,1,FALSE)</f>
        <v>4</v>
      </c>
      <c r="AD209" s="6">
        <f>VLOOKUP(F205,F$1:$L$601,1,FALSE)</f>
        <v>2706.1301960784322</v>
      </c>
      <c r="AE209" s="6">
        <f>VLOOKUP(G205,G$1:$L$601,1,FALSE)</f>
        <v>1.1599999999999999E-2</v>
      </c>
      <c r="AF209" s="6">
        <f>VLOOKUP(H205,H$1:$L$601,1,FALSE)</f>
        <v>0</v>
      </c>
      <c r="AG209" s="6">
        <f>VLOOKUP(I205,I$1:$L$601,1,FALSE)</f>
        <v>45803</v>
      </c>
      <c r="AH209" s="6" t="str">
        <f>VLOOKUP(J205,J$1:$L$601,1,FALSE)</f>
        <v>DELHI</v>
      </c>
      <c r="AI209" s="6" t="str">
        <f>VLOOKUP(K205,K$1:$L$601,1,FALSE)</f>
        <v>B2C</v>
      </c>
      <c r="AJ209" s="6">
        <f>VLOOKUP(L205,L$1:$L$601,1,FALSE)</f>
        <v>2179.54</v>
      </c>
    </row>
    <row r="210" spans="1:36" x14ac:dyDescent="0.25">
      <c r="A210">
        <v>1215</v>
      </c>
      <c r="B210" t="s">
        <v>260</v>
      </c>
      <c r="C210" t="s">
        <v>36</v>
      </c>
      <c r="D210" t="s">
        <v>71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19</v>
      </c>
      <c r="K210" t="s">
        <v>16</v>
      </c>
      <c r="L210" s="2">
        <v>-266.99</v>
      </c>
      <c r="Y210" s="6">
        <f>VLOOKUP(A206,A$1:$L$601,1,FALSE)</f>
        <v>1211</v>
      </c>
      <c r="Z210" s="6" t="str">
        <f>VLOOKUP(B206,B$1:$L$601,1,FALSE)</f>
        <v>Kelli Young</v>
      </c>
      <c r="AA210" s="6" t="str">
        <f>VLOOKUP(C206,C$1:$L$601,1,FALSE)</f>
        <v>Jeans</v>
      </c>
      <c r="AB210" s="6" t="str">
        <f>VLOOKUP(D206,D$1:$L$601,1,FALSE)</f>
        <v>Ripped Denim</v>
      </c>
      <c r="AC210" s="6">
        <f>VLOOKUP(E206,E$1:$L$601,1,FALSE)</f>
        <v>2.1052631578947367</v>
      </c>
      <c r="AD210" s="6">
        <f>VLOOKUP(F206,F$1:$L$601,1,FALSE)</f>
        <v>1560.37</v>
      </c>
      <c r="AE210" s="6">
        <f>VLOOKUP(G206,G$1:$L$601,1,FALSE)</f>
        <v>0.58977272727272723</v>
      </c>
      <c r="AF210" s="6">
        <f>VLOOKUP(H206,H$1:$L$601,1,FALSE)</f>
        <v>0</v>
      </c>
      <c r="AG210" s="6">
        <f>VLOOKUP(I206,I$1:$L$601,1,FALSE)</f>
        <v>45630</v>
      </c>
      <c r="AH210" s="6" t="str">
        <f>VLOOKUP(J206,J$1:$L$601,1,FALSE)</f>
        <v>AHMEDABAD</v>
      </c>
      <c r="AI210" s="6" t="str">
        <f>VLOOKUP(K206,K$1:$L$601,1,FALSE)</f>
        <v>B2C</v>
      </c>
      <c r="AJ210" s="6">
        <f>VLOOKUP(L206,L$1:$L$601,1,FALSE)</f>
        <v>2783.91</v>
      </c>
    </row>
    <row r="211" spans="1:36" x14ac:dyDescent="0.25">
      <c r="A211">
        <v>1216</v>
      </c>
      <c r="B211" t="s">
        <v>261</v>
      </c>
      <c r="C211" t="s">
        <v>36</v>
      </c>
      <c r="D211" t="s">
        <v>71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24</v>
      </c>
      <c r="L211" s="2">
        <v>2986.8</v>
      </c>
      <c r="Y211" s="6">
        <f>VLOOKUP(A207,A$1:$L$601,1,FALSE)</f>
        <v>1212</v>
      </c>
      <c r="Z211" s="6" t="str">
        <f>VLOOKUP(B207,B$1:$L$601,1,FALSE)</f>
        <v>Bradley Quinn</v>
      </c>
      <c r="AA211" s="6" t="str">
        <f>VLOOKUP(C207,C$1:$L$601,1,FALSE)</f>
        <v>Shoes</v>
      </c>
      <c r="AB211" s="6" t="str">
        <f>VLOOKUP(D207,D$1:$L$601,1,FALSE)</f>
        <v>Slip-Ons</v>
      </c>
      <c r="AC211" s="6">
        <f>VLOOKUP(E207,E$1:$L$601,1,FALSE)</f>
        <v>1.5178571428571428</v>
      </c>
      <c r="AD211" s="6">
        <f>VLOOKUP(F207,F$1:$L$601,1,FALSE)</f>
        <v>4098.12</v>
      </c>
      <c r="AE211" s="6">
        <f>VLOOKUP(G207,G$1:$L$601,1,FALSE)</f>
        <v>0.59740740740740739</v>
      </c>
      <c r="AF211" s="6">
        <f>VLOOKUP(H207,H$1:$L$601,1,FALSE)</f>
        <v>0</v>
      </c>
      <c r="AG211" s="6">
        <f>VLOOKUP(I207,I$1:$L$601,1,FALSE)</f>
        <v>45582</v>
      </c>
      <c r="AH211" s="6" t="str">
        <f>VLOOKUP(J207,J$1:$L$601,1,FALSE)</f>
        <v>HYDERBAD</v>
      </c>
      <c r="AI211" s="6" t="str">
        <f>VLOOKUP(K207,K$1:$L$601,1,FALSE)</f>
        <v>B2C</v>
      </c>
      <c r="AJ211" s="6">
        <f>VLOOKUP(L207,L$1:$L$601,1,FALSE)</f>
        <v>-656.35</v>
      </c>
    </row>
    <row r="212" spans="1:36" x14ac:dyDescent="0.25">
      <c r="A212">
        <v>1217</v>
      </c>
      <c r="B212" t="s">
        <v>262</v>
      </c>
      <c r="C212" t="s">
        <v>21</v>
      </c>
      <c r="D212" t="s">
        <v>87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  <c r="Y212" s="6">
        <f>VLOOKUP(A208,A$1:$L$601,1,FALSE)</f>
        <v>1213</v>
      </c>
      <c r="Z212" s="6" t="str">
        <f>VLOOKUP(B208,B$1:$L$601,1,FALSE)</f>
        <v>Darrell Reynolds</v>
      </c>
      <c r="AA212" s="6" t="str">
        <f>VLOOKUP(C208,C$1:$L$601,1,FALSE)</f>
        <v>T-Shirts</v>
      </c>
      <c r="AB212" s="6" t="str">
        <f>VLOOKUP(D208,D$1:$L$601,1,FALSE)</f>
        <v>Classic Tee</v>
      </c>
      <c r="AC212" s="6">
        <f>VLOOKUP(E208,E$1:$L$601,1,FALSE)</f>
        <v>1.5178571428571428</v>
      </c>
      <c r="AD212" s="6">
        <f>VLOOKUP(F208,F$1:$L$601,1,FALSE)</f>
        <v>2742.2927659574466</v>
      </c>
      <c r="AE212" s="6">
        <f>VLOOKUP(G208,G$1:$L$601,1,FALSE)</f>
        <v>0.65787878787878773</v>
      </c>
      <c r="AF212" s="6">
        <f>VLOOKUP(H208,H$1:$L$601,1,FALSE)</f>
        <v>0</v>
      </c>
      <c r="AG212" s="6">
        <f>VLOOKUP(I208,I$1:$L$601,1,FALSE)</f>
        <v>45684</v>
      </c>
      <c r="AH212" s="6" t="str">
        <f>VLOOKUP(J208,J$1:$L$601,1,FALSE)</f>
        <v>AHMEDABAD</v>
      </c>
      <c r="AI212" s="6" t="str">
        <f>VLOOKUP(K208,K$1:$L$601,1,FALSE)</f>
        <v>B2C</v>
      </c>
      <c r="AJ212" s="6">
        <f>VLOOKUP(L208,L$1:$L$601,1,FALSE)</f>
        <v>1093.98</v>
      </c>
    </row>
    <row r="213" spans="1:36" x14ac:dyDescent="0.25">
      <c r="A213">
        <v>1218</v>
      </c>
      <c r="B213" t="s">
        <v>263</v>
      </c>
      <c r="C213" t="s">
        <v>41</v>
      </c>
      <c r="D213" t="s">
        <v>63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33</v>
      </c>
      <c r="K213" t="s">
        <v>24</v>
      </c>
      <c r="L213" s="2">
        <v>707.56</v>
      </c>
      <c r="Y213" s="6">
        <f>VLOOKUP(A209,A$1:$L$601,1,FALSE)</f>
        <v>1214</v>
      </c>
      <c r="Z213" s="6" t="str">
        <f>VLOOKUP(B209,B$1:$L$601,1,FALSE)</f>
        <v>Alicia Hernandez</v>
      </c>
      <c r="AA213" s="6" t="str">
        <f>VLOOKUP(C209,C$1:$L$601,1,FALSE)</f>
        <v>Jackets</v>
      </c>
      <c r="AB213" s="6" t="str">
        <f>VLOOKUP(D209,D$1:$L$601,1,FALSE)</f>
        <v>Leather Jacket</v>
      </c>
      <c r="AC213" s="6">
        <f>VLOOKUP(E209,E$1:$L$601,1,FALSE)</f>
        <v>4</v>
      </c>
      <c r="AD213" s="6">
        <f>VLOOKUP(F209,F$1:$L$601,1,FALSE)</f>
        <v>1273.5999999999999</v>
      </c>
      <c r="AE213" s="6">
        <f>VLOOKUP(G209,G$1:$L$601,1,FALSE)</f>
        <v>0.69969696969696993</v>
      </c>
      <c r="AF213" s="6">
        <f>VLOOKUP(H209,H$1:$L$601,1,FALSE)</f>
        <v>0</v>
      </c>
      <c r="AG213" s="6">
        <f>VLOOKUP(I209,I$1:$L$601,1,FALSE)</f>
        <v>45826</v>
      </c>
      <c r="AH213" s="6" t="str">
        <f>VLOOKUP(J209,J$1:$L$601,1,FALSE)</f>
        <v>HYDERBAD</v>
      </c>
      <c r="AI213" s="6" t="str">
        <f>VLOOKUP(K209,K$1:$L$601,1,FALSE)</f>
        <v>B2C</v>
      </c>
      <c r="AJ213" s="6">
        <f>VLOOKUP(L209,L$1:$L$601,1,FALSE)</f>
        <v>1851.89</v>
      </c>
    </row>
    <row r="214" spans="1:36" x14ac:dyDescent="0.25">
      <c r="A214">
        <v>1219</v>
      </c>
      <c r="B214" t="s">
        <v>264</v>
      </c>
      <c r="C214" t="s">
        <v>13</v>
      </c>
      <c r="D214" t="s">
        <v>51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29</v>
      </c>
      <c r="K214" t="s">
        <v>16</v>
      </c>
      <c r="L214" s="2">
        <v>2206</v>
      </c>
      <c r="Y214" s="6">
        <f>VLOOKUP(A210,A$1:$L$601,1,FALSE)</f>
        <v>1215</v>
      </c>
      <c r="Z214" s="6" t="str">
        <f>VLOOKUP(B210,B$1:$L$601,1,FALSE)</f>
        <v>Melanie Hoffman</v>
      </c>
      <c r="AA214" s="6" t="str">
        <f>VLOOKUP(C210,C$1:$L$601,1,FALSE)</f>
        <v>T-Shirts</v>
      </c>
      <c r="AB214" s="6" t="str">
        <f>VLOOKUP(D210,D$1:$L$601,1,FALSE)</f>
        <v>Classic Tee</v>
      </c>
      <c r="AC214" s="6">
        <f>VLOOKUP(E210,E$1:$L$601,1,FALSE)</f>
        <v>6</v>
      </c>
      <c r="AD214" s="6">
        <f>VLOOKUP(F210,F$1:$L$601,1,FALSE)</f>
        <v>3802.27</v>
      </c>
      <c r="AE214" s="6">
        <f>VLOOKUP(G210,G$1:$L$601,1,FALSE)</f>
        <v>0.65787878787878773</v>
      </c>
      <c r="AF214" s="6">
        <f>VLOOKUP(H210,H$1:$L$601,1,FALSE)</f>
        <v>0</v>
      </c>
      <c r="AG214" s="6">
        <f>VLOOKUP(I210,I$1:$L$601,1,FALSE)</f>
        <v>45626.838268792708</v>
      </c>
      <c r="AH214" s="6" t="str">
        <f>VLOOKUP(J210,J$1:$L$601,1,FALSE)</f>
        <v>AHMEDABAD</v>
      </c>
      <c r="AI214" s="6" t="str">
        <f>VLOOKUP(K210,K$1:$L$601,1,FALSE)</f>
        <v>B2C</v>
      </c>
      <c r="AJ214" s="6">
        <f>VLOOKUP(L210,L$1:$L$601,1,FALSE)</f>
        <v>-266.99</v>
      </c>
    </row>
    <row r="215" spans="1:36" x14ac:dyDescent="0.25">
      <c r="A215">
        <v>1220</v>
      </c>
      <c r="B215" t="s">
        <v>265</v>
      </c>
      <c r="C215" t="s">
        <v>36</v>
      </c>
      <c r="D215" t="s">
        <v>46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29</v>
      </c>
      <c r="K215" t="s">
        <v>16</v>
      </c>
      <c r="L215" s="2">
        <v>1598.22</v>
      </c>
      <c r="Y215" s="6">
        <f>VLOOKUP(A211,A$1:$L$601,1,FALSE)</f>
        <v>1216</v>
      </c>
      <c r="Z215" s="6" t="str">
        <f>VLOOKUP(B211,B$1:$L$601,1,FALSE)</f>
        <v>Benjamin Dunlap</v>
      </c>
      <c r="AA215" s="6" t="str">
        <f>VLOOKUP(C211,C$1:$L$601,1,FALSE)</f>
        <v>T-Shirts</v>
      </c>
      <c r="AB215" s="6" t="str">
        <f>VLOOKUP(D211,D$1:$L$601,1,FALSE)</f>
        <v>Classic Tee</v>
      </c>
      <c r="AC215" s="6">
        <f>VLOOKUP(E211,E$1:$L$601,1,FALSE)</f>
        <v>6</v>
      </c>
      <c r="AD215" s="6">
        <f>VLOOKUP(F211,F$1:$L$601,1,FALSE)</f>
        <v>2742.2927659574466</v>
      </c>
      <c r="AE215" s="6">
        <f>VLOOKUP(G211,G$1:$L$601,1,FALSE)</f>
        <v>1.1699999999999999E-2</v>
      </c>
      <c r="AF215" s="6">
        <f>VLOOKUP(H211,H$1:$L$601,1,FALSE)</f>
        <v>0</v>
      </c>
      <c r="AG215" s="6">
        <f>VLOOKUP(I211,I$1:$L$601,1,FALSE)</f>
        <v>45495</v>
      </c>
      <c r="AH215" s="6" t="str">
        <f>VLOOKUP(J211,J$1:$L$601,1,FALSE)</f>
        <v>DELHI</v>
      </c>
      <c r="AI215" s="6" t="str">
        <f>VLOOKUP(K211,K$1:$L$601,1,FALSE)</f>
        <v>B2B</v>
      </c>
      <c r="AJ215" s="6">
        <f>VLOOKUP(L211,L$1:$L$601,1,FALSE)</f>
        <v>2986.8</v>
      </c>
    </row>
    <row r="216" spans="1:36" x14ac:dyDescent="0.25">
      <c r="A216">
        <v>1221</v>
      </c>
      <c r="B216" t="s">
        <v>266</v>
      </c>
      <c r="C216" t="s">
        <v>31</v>
      </c>
      <c r="D216" t="s">
        <v>32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23</v>
      </c>
      <c r="K216" t="s">
        <v>24</v>
      </c>
      <c r="L216" s="2">
        <v>898.67</v>
      </c>
      <c r="Y216" s="6">
        <f>VLOOKUP(A212,A$1:$L$601,1,FALSE)</f>
        <v>1217</v>
      </c>
      <c r="Z216" s="6" t="str">
        <f>VLOOKUP(B212,B$1:$L$601,1,FALSE)</f>
        <v>Cheryl King</v>
      </c>
      <c r="AA216" s="6" t="str">
        <f>VLOOKUP(C212,C$1:$L$601,1,FALSE)</f>
        <v>Jackets</v>
      </c>
      <c r="AB216" s="6" t="str">
        <f>VLOOKUP(D212,D$1:$L$601,1,FALSE)</f>
        <v>Denim Jacket</v>
      </c>
      <c r="AC216" s="6">
        <f>VLOOKUP(E212,E$1:$L$601,1,FALSE)</f>
        <v>3</v>
      </c>
      <c r="AD216" s="6">
        <f>VLOOKUP(F212,F$1:$L$601,1,FALSE)</f>
        <v>2850.38</v>
      </c>
      <c r="AE216" s="6">
        <f>VLOOKUP(G212,G$1:$L$601,1,FALSE)</f>
        <v>0.69969696969696993</v>
      </c>
      <c r="AF216" s="6">
        <f>VLOOKUP(H212,H$1:$L$601,1,FALSE)</f>
        <v>0</v>
      </c>
      <c r="AG216" s="6">
        <f>VLOOKUP(I212,I$1:$L$601,1,FALSE)</f>
        <v>45626.838268792708</v>
      </c>
      <c r="AH216" s="6" t="str">
        <f>VLOOKUP(J212,J$1:$L$601,1,FALSE)</f>
        <v>DELHI</v>
      </c>
      <c r="AI216" s="6" t="str">
        <f>VLOOKUP(K212,K$1:$L$601,1,FALSE)</f>
        <v>B2C</v>
      </c>
      <c r="AJ216" s="6">
        <f>VLOOKUP(L212,L$1:$L$601,1,FALSE)</f>
        <v>17.309999999999999</v>
      </c>
    </row>
    <row r="217" spans="1:36" x14ac:dyDescent="0.25">
      <c r="A217">
        <v>1222</v>
      </c>
      <c r="B217" t="s">
        <v>267</v>
      </c>
      <c r="C217" t="s">
        <v>36</v>
      </c>
      <c r="D217" t="s">
        <v>71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48</v>
      </c>
      <c r="K217" t="s">
        <v>16</v>
      </c>
      <c r="L217" s="2">
        <v>1489.45</v>
      </c>
      <c r="Y217" s="6">
        <f>VLOOKUP(A213,A$1:$L$601,1,FALSE)</f>
        <v>1218</v>
      </c>
      <c r="Z217" s="6" t="str">
        <f>VLOOKUP(B213,B$1:$L$601,1,FALSE)</f>
        <v>Jamie Alexander</v>
      </c>
      <c r="AA217" s="6" t="str">
        <f>VLOOKUP(C213,C$1:$L$601,1,FALSE)</f>
        <v>Dresses</v>
      </c>
      <c r="AB217" s="6" t="str">
        <f>VLOOKUP(D213,D$1:$L$601,1,FALSE)</f>
        <v>Wrap Dress</v>
      </c>
      <c r="AC217" s="6">
        <f>VLOOKUP(E213,E$1:$L$601,1,FALSE)</f>
        <v>3</v>
      </c>
      <c r="AD217" s="6">
        <f>VLOOKUP(F213,F$1:$L$601,1,FALSE)</f>
        <v>1544.45</v>
      </c>
      <c r="AE217" s="6">
        <f>VLOOKUP(G213,G$1:$L$601,1,FALSE)</f>
        <v>0.33</v>
      </c>
      <c r="AF217" s="6">
        <f>VLOOKUP(H213,H$1:$L$601,1,FALSE)</f>
        <v>3104.34</v>
      </c>
      <c r="AG217" s="6">
        <f>VLOOKUP(I213,I$1:$L$601,1,FALSE)</f>
        <v>45747</v>
      </c>
      <c r="AH217" s="6" t="str">
        <f>VLOOKUP(J213,J$1:$L$601,1,FALSE)</f>
        <v>HYDERBAD</v>
      </c>
      <c r="AI217" s="6" t="str">
        <f>VLOOKUP(K213,K$1:$L$601,1,FALSE)</f>
        <v>B2B</v>
      </c>
      <c r="AJ217" s="6">
        <f>VLOOKUP(L213,L$1:$L$601,1,FALSE)</f>
        <v>707.56</v>
      </c>
    </row>
    <row r="218" spans="1:36" x14ac:dyDescent="0.25">
      <c r="A218">
        <v>1223</v>
      </c>
      <c r="B218" t="s">
        <v>268</v>
      </c>
      <c r="C218" t="s">
        <v>36</v>
      </c>
      <c r="D218" t="s">
        <v>37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33</v>
      </c>
      <c r="K218" t="s">
        <v>24</v>
      </c>
      <c r="L218" s="2">
        <v>-531.04999999999995</v>
      </c>
      <c r="Y218" s="6">
        <f>VLOOKUP(A214,A$1:$L$601,1,FALSE)</f>
        <v>1219</v>
      </c>
      <c r="Z218" s="6" t="str">
        <f>VLOOKUP(B214,B$1:$L$601,1,FALSE)</f>
        <v>Kayla Crawford</v>
      </c>
      <c r="AA218" s="6" t="str">
        <f>VLOOKUP(C214,C$1:$L$601,1,FALSE)</f>
        <v>Jeans</v>
      </c>
      <c r="AB218" s="6" t="str">
        <f>VLOOKUP(D214,D$1:$L$601,1,FALSE)</f>
        <v>Straight Cut</v>
      </c>
      <c r="AC218" s="6">
        <f>VLOOKUP(E214,E$1:$L$601,1,FALSE)</f>
        <v>2.1052631578947367</v>
      </c>
      <c r="AD218" s="6">
        <f>VLOOKUP(F214,F$1:$L$601,1,FALSE)</f>
        <v>2676.4254237288142</v>
      </c>
      <c r="AE218" s="6">
        <f>VLOOKUP(G214,G$1:$L$601,1,FALSE)</f>
        <v>0.58977272727272723</v>
      </c>
      <c r="AF218" s="6">
        <f>VLOOKUP(H214,H$1:$L$601,1,FALSE)</f>
        <v>0</v>
      </c>
      <c r="AG218" s="6">
        <f>VLOOKUP(I214,I$1:$L$601,1,FALSE)</f>
        <v>45624</v>
      </c>
      <c r="AH218" s="6" t="str">
        <f>VLOOKUP(J214,J$1:$L$601,1,FALSE)</f>
        <v>BANGALORE</v>
      </c>
      <c r="AI218" s="6" t="str">
        <f>VLOOKUP(K214,K$1:$L$601,1,FALSE)</f>
        <v>B2C</v>
      </c>
      <c r="AJ218" s="6">
        <f>VLOOKUP(L214,L$1:$L$601,1,FALSE)</f>
        <v>2206</v>
      </c>
    </row>
    <row r="219" spans="1:36" x14ac:dyDescent="0.25">
      <c r="A219">
        <v>1224</v>
      </c>
      <c r="B219" t="s">
        <v>269</v>
      </c>
      <c r="C219" t="s">
        <v>41</v>
      </c>
      <c r="D219" t="s">
        <v>63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19</v>
      </c>
      <c r="K219" t="s">
        <v>16</v>
      </c>
      <c r="L219" s="2">
        <v>2219.56</v>
      </c>
      <c r="Y219" s="6">
        <f>VLOOKUP(A215,A$1:$L$601,1,FALSE)</f>
        <v>1220</v>
      </c>
      <c r="Z219" s="6" t="str">
        <f>VLOOKUP(B215,B$1:$L$601,1,FALSE)</f>
        <v>Amber Rivera</v>
      </c>
      <c r="AA219" s="6" t="str">
        <f>VLOOKUP(C215,C$1:$L$601,1,FALSE)</f>
        <v>T-Shirts</v>
      </c>
      <c r="AB219" s="6" t="str">
        <f>VLOOKUP(D215,D$1:$L$601,1,FALSE)</f>
        <v>Oversized T-Shirt</v>
      </c>
      <c r="AC219" s="6">
        <f>VLOOKUP(E215,E$1:$L$601,1,FALSE)</f>
        <v>1.5178571428571428</v>
      </c>
      <c r="AD219" s="6">
        <f>VLOOKUP(F215,F$1:$L$601,1,FALSE)</f>
        <v>2742.2927659574466</v>
      </c>
      <c r="AE219" s="6">
        <f>VLOOKUP(G215,G$1:$L$601,1,FALSE)</f>
        <v>0.65787878787878773</v>
      </c>
      <c r="AF219" s="6">
        <f>VLOOKUP(H215,H$1:$L$601,1,FALSE)</f>
        <v>0</v>
      </c>
      <c r="AG219" s="6">
        <f>VLOOKUP(I215,I$1:$L$601,1,FALSE)</f>
        <v>45495</v>
      </c>
      <c r="AH219" s="6" t="str">
        <f>VLOOKUP(J215,J$1:$L$601,1,FALSE)</f>
        <v>BANGALORE</v>
      </c>
      <c r="AI219" s="6" t="str">
        <f>VLOOKUP(K215,K$1:$L$601,1,FALSE)</f>
        <v>B2C</v>
      </c>
      <c r="AJ219" s="6">
        <f>VLOOKUP(L215,L$1:$L$601,1,FALSE)</f>
        <v>1598.22</v>
      </c>
    </row>
    <row r="220" spans="1:36" x14ac:dyDescent="0.25">
      <c r="A220">
        <v>1225</v>
      </c>
      <c r="B220" t="s">
        <v>270</v>
      </c>
      <c r="C220" t="s">
        <v>27</v>
      </c>
      <c r="D220" t="s">
        <v>28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29</v>
      </c>
      <c r="K220" t="s">
        <v>16</v>
      </c>
      <c r="L220" s="2">
        <v>1937.71</v>
      </c>
      <c r="Y220" s="6">
        <f>VLOOKUP(A216,A$1:$L$601,1,FALSE)</f>
        <v>1221</v>
      </c>
      <c r="Z220" s="6" t="str">
        <f>VLOOKUP(B216,B$1:$L$601,1,FALSE)</f>
        <v>Cody Mitchell</v>
      </c>
      <c r="AA220" s="6" t="str">
        <f>VLOOKUP(C216,C$1:$L$601,1,FALSE)</f>
        <v>Accessories</v>
      </c>
      <c r="AB220" s="6" t="str">
        <f>VLOOKUP(D216,D$1:$L$601,1,FALSE)</f>
        <v>Belts</v>
      </c>
      <c r="AC220" s="6">
        <f>VLOOKUP(E216,E$1:$L$601,1,FALSE)</f>
        <v>3</v>
      </c>
      <c r="AD220" s="6">
        <f>VLOOKUP(F216,F$1:$L$601,1,FALSE)</f>
        <v>2706.1301960784322</v>
      </c>
      <c r="AE220" s="6">
        <f>VLOOKUP(G216,G$1:$L$601,1,FALSE)</f>
        <v>0.70297297297297334</v>
      </c>
      <c r="AF220" s="6">
        <f>VLOOKUP(H216,H$1:$L$601,1,FALSE)</f>
        <v>0</v>
      </c>
      <c r="AG220" s="6">
        <f>VLOOKUP(I216,I$1:$L$601,1,FALSE)</f>
        <v>45563</v>
      </c>
      <c r="AH220" s="6" t="str">
        <f>VLOOKUP(J216,J$1:$L$601,1,FALSE)</f>
        <v>MUMBAI</v>
      </c>
      <c r="AI220" s="6" t="str">
        <f>VLOOKUP(K216,K$1:$L$601,1,FALSE)</f>
        <v>B2B</v>
      </c>
      <c r="AJ220" s="6">
        <f>VLOOKUP(L216,L$1:$L$601,1,FALSE)</f>
        <v>898.67</v>
      </c>
    </row>
    <row r="221" spans="1:36" x14ac:dyDescent="0.25">
      <c r="A221">
        <v>1226</v>
      </c>
      <c r="B221" t="s">
        <v>271</v>
      </c>
      <c r="C221" t="s">
        <v>41</v>
      </c>
      <c r="D221" t="s">
        <v>90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19</v>
      </c>
      <c r="K221" t="s">
        <v>24</v>
      </c>
      <c r="L221" s="2">
        <v>2806.56</v>
      </c>
      <c r="Y221" s="6">
        <f>VLOOKUP(A217,A$1:$L$601,1,FALSE)</f>
        <v>1222</v>
      </c>
      <c r="Z221" s="6" t="str">
        <f>VLOOKUP(B217,B$1:$L$601,1,FALSE)</f>
        <v>Karen Pennington</v>
      </c>
      <c r="AA221" s="6" t="str">
        <f>VLOOKUP(C217,C$1:$L$601,1,FALSE)</f>
        <v>T-Shirts</v>
      </c>
      <c r="AB221" s="6" t="str">
        <f>VLOOKUP(D217,D$1:$L$601,1,FALSE)</f>
        <v>Classic Tee</v>
      </c>
      <c r="AC221" s="6">
        <f>VLOOKUP(E217,E$1:$L$601,1,FALSE)</f>
        <v>1.5178571428571428</v>
      </c>
      <c r="AD221" s="6">
        <f>VLOOKUP(F217,F$1:$L$601,1,FALSE)</f>
        <v>683.85</v>
      </c>
      <c r="AE221" s="6">
        <f>VLOOKUP(G217,G$1:$L$601,1,FALSE)</f>
        <v>0.65787878787878773</v>
      </c>
      <c r="AF221" s="6">
        <f>VLOOKUP(H217,H$1:$L$601,1,FALSE)</f>
        <v>0</v>
      </c>
      <c r="AG221" s="6">
        <f>VLOOKUP(I217,I$1:$L$601,1,FALSE)</f>
        <v>45595</v>
      </c>
      <c r="AH221" s="6" t="str">
        <f>VLOOKUP(J217,J$1:$L$601,1,FALSE)</f>
        <v>PUNE</v>
      </c>
      <c r="AI221" s="6" t="str">
        <f>VLOOKUP(K217,K$1:$L$601,1,FALSE)</f>
        <v>B2C</v>
      </c>
      <c r="AJ221" s="6">
        <f>VLOOKUP(L217,L$1:$L$601,1,FALSE)</f>
        <v>1489.45</v>
      </c>
    </row>
    <row r="222" spans="1:36" x14ac:dyDescent="0.25">
      <c r="A222">
        <v>1227</v>
      </c>
      <c r="B222" t="s">
        <v>272</v>
      </c>
      <c r="C222" t="s">
        <v>31</v>
      </c>
      <c r="D222" t="s">
        <v>44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33</v>
      </c>
      <c r="K222" t="s">
        <v>16</v>
      </c>
      <c r="L222" s="2">
        <v>2096.6799999999998</v>
      </c>
      <c r="Y222" s="6">
        <f>VLOOKUP(A218,A$1:$L$601,1,FALSE)</f>
        <v>1223</v>
      </c>
      <c r="Z222" s="6" t="str">
        <f>VLOOKUP(B218,B$1:$L$601,1,FALSE)</f>
        <v>Nicholas Thompson</v>
      </c>
      <c r="AA222" s="6" t="str">
        <f>VLOOKUP(C218,C$1:$L$601,1,FALSE)</f>
        <v>T-Shirts</v>
      </c>
      <c r="AB222" s="6" t="str">
        <f>VLOOKUP(D218,D$1:$L$601,1,FALSE)</f>
        <v>Crop Top</v>
      </c>
      <c r="AC222" s="6">
        <f>VLOOKUP(E218,E$1:$L$601,1,FALSE)</f>
        <v>1.5178571428571428</v>
      </c>
      <c r="AD222" s="6">
        <f>VLOOKUP(F218,F$1:$L$601,1,FALSE)</f>
        <v>2742.2927659574466</v>
      </c>
      <c r="AE222" s="6">
        <f>VLOOKUP(G218,G$1:$L$601,1,FALSE)</f>
        <v>0.65787878787878773</v>
      </c>
      <c r="AF222" s="6">
        <f>VLOOKUP(H218,H$1:$L$601,1,FALSE)</f>
        <v>0</v>
      </c>
      <c r="AG222" s="6">
        <f>VLOOKUP(I218,I$1:$L$601,1,FALSE)</f>
        <v>45626.838268792708</v>
      </c>
      <c r="AH222" s="6" t="str">
        <f>VLOOKUP(J218,J$1:$L$601,1,FALSE)</f>
        <v>HYDERBAD</v>
      </c>
      <c r="AI222" s="6" t="str">
        <f>VLOOKUP(K218,K$1:$L$601,1,FALSE)</f>
        <v>B2B</v>
      </c>
      <c r="AJ222" s="6">
        <f>VLOOKUP(L218,L$1:$L$601,1,FALSE)</f>
        <v>-531.04999999999995</v>
      </c>
    </row>
    <row r="223" spans="1:36" x14ac:dyDescent="0.25">
      <c r="A223">
        <v>1229</v>
      </c>
      <c r="B223" t="s">
        <v>273</v>
      </c>
      <c r="C223" t="s">
        <v>41</v>
      </c>
      <c r="D223" t="s">
        <v>90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  <c r="Y223" s="6">
        <f>VLOOKUP(A219,A$1:$L$601,1,FALSE)</f>
        <v>1224</v>
      </c>
      <c r="Z223" s="6" t="str">
        <f>VLOOKUP(B219,B$1:$L$601,1,FALSE)</f>
        <v>Shelby Lewis</v>
      </c>
      <c r="AA223" s="6" t="str">
        <f>VLOOKUP(C219,C$1:$L$601,1,FALSE)</f>
        <v>Dresses</v>
      </c>
      <c r="AB223" s="6" t="str">
        <f>VLOOKUP(D219,D$1:$L$601,1,FALSE)</f>
        <v>Wrap Dress</v>
      </c>
      <c r="AC223" s="6">
        <f>VLOOKUP(E219,E$1:$L$601,1,FALSE)</f>
        <v>2.1864406779661016</v>
      </c>
      <c r="AD223" s="6">
        <f>VLOOKUP(F219,F$1:$L$601,1,FALSE)</f>
        <v>2949.9901960784309</v>
      </c>
      <c r="AE223" s="6">
        <f>VLOOKUP(G219,G$1:$L$601,1,FALSE)</f>
        <v>0.55000000000000004</v>
      </c>
      <c r="AF223" s="6">
        <f>VLOOKUP(H219,H$1:$L$601,1,FALSE)</f>
        <v>0</v>
      </c>
      <c r="AG223" s="6">
        <f>VLOOKUP(I219,I$1:$L$601,1,FALSE)</f>
        <v>45737</v>
      </c>
      <c r="AH223" s="6" t="str">
        <f>VLOOKUP(J219,J$1:$L$601,1,FALSE)</f>
        <v>AHMEDABAD</v>
      </c>
      <c r="AI223" s="6" t="str">
        <f>VLOOKUP(K219,K$1:$L$601,1,FALSE)</f>
        <v>B2C</v>
      </c>
      <c r="AJ223" s="6">
        <f>VLOOKUP(L219,L$1:$L$601,1,FALSE)</f>
        <v>2219.56</v>
      </c>
    </row>
    <row r="224" spans="1:36" x14ac:dyDescent="0.25">
      <c r="A224">
        <v>1230</v>
      </c>
      <c r="B224" t="s">
        <v>274</v>
      </c>
      <c r="C224" t="s">
        <v>31</v>
      </c>
      <c r="D224" t="s">
        <v>119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33</v>
      </c>
      <c r="K224" t="s">
        <v>16</v>
      </c>
      <c r="L224" s="2">
        <v>2725.11</v>
      </c>
      <c r="Y224" s="6">
        <f>VLOOKUP(A220,A$1:$L$601,1,FALSE)</f>
        <v>1225</v>
      </c>
      <c r="Z224" s="6" t="str">
        <f>VLOOKUP(B220,B$1:$L$601,1,FALSE)</f>
        <v>Gregory Flores</v>
      </c>
      <c r="AA224" s="6" t="str">
        <f>VLOOKUP(C220,C$1:$L$601,1,FALSE)</f>
        <v>Shoes</v>
      </c>
      <c r="AB224" s="6" t="str">
        <f>VLOOKUP(D220,D$1:$L$601,1,FALSE)</f>
        <v>Loafers</v>
      </c>
      <c r="AC224" s="6">
        <f>VLOOKUP(E220,E$1:$L$601,1,FALSE)</f>
        <v>1.5178571428571428</v>
      </c>
      <c r="AD224" s="6">
        <f>VLOOKUP(F220,F$1:$L$601,1,FALSE)</f>
        <v>1406.32</v>
      </c>
      <c r="AE224" s="6">
        <f>VLOOKUP(G220,G$1:$L$601,1,FALSE)</f>
        <v>1.0500000000000001E-2</v>
      </c>
      <c r="AF224" s="6">
        <f>VLOOKUP(H220,H$1:$L$601,1,FALSE)</f>
        <v>70.319999999999993</v>
      </c>
      <c r="AG224" s="6">
        <f>VLOOKUP(I220,I$1:$L$601,1,FALSE)</f>
        <v>45851</v>
      </c>
      <c r="AH224" s="6" t="str">
        <f>VLOOKUP(J220,J$1:$L$601,1,FALSE)</f>
        <v>BANGALORE</v>
      </c>
      <c r="AI224" s="6" t="str">
        <f>VLOOKUP(K220,K$1:$L$601,1,FALSE)</f>
        <v>B2C</v>
      </c>
      <c r="AJ224" s="6">
        <f>VLOOKUP(L220,L$1:$L$601,1,FALSE)</f>
        <v>1937.71</v>
      </c>
    </row>
    <row r="225" spans="1:36" x14ac:dyDescent="0.25">
      <c r="A225">
        <v>1231</v>
      </c>
      <c r="B225" t="s">
        <v>275</v>
      </c>
      <c r="C225" t="s">
        <v>27</v>
      </c>
      <c r="D225" t="s">
        <v>65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48</v>
      </c>
      <c r="K225" t="s">
        <v>24</v>
      </c>
      <c r="L225" s="2">
        <v>1393.69</v>
      </c>
      <c r="Y225" s="6">
        <f>VLOOKUP(A221,A$1:$L$601,1,FALSE)</f>
        <v>1226</v>
      </c>
      <c r="Z225" s="6" t="str">
        <f>VLOOKUP(B221,B$1:$L$601,1,FALSE)</f>
        <v>Jeffrey Haynes</v>
      </c>
      <c r="AA225" s="6" t="str">
        <f>VLOOKUP(C221,C$1:$L$601,1,FALSE)</f>
        <v>Dresses</v>
      </c>
      <c r="AB225" s="6" t="str">
        <f>VLOOKUP(D221,D$1:$L$601,1,FALSE)</f>
        <v>Bodycon</v>
      </c>
      <c r="AC225" s="6">
        <f>VLOOKUP(E221,E$1:$L$601,1,FALSE)</f>
        <v>1</v>
      </c>
      <c r="AD225" s="6">
        <f>VLOOKUP(F221,F$1:$L$601,1,FALSE)</f>
        <v>2949.9901960784309</v>
      </c>
      <c r="AE225" s="6">
        <f>VLOOKUP(G221,G$1:$L$601,1,FALSE)</f>
        <v>1.15E-2</v>
      </c>
      <c r="AF225" s="6">
        <f>VLOOKUP(H221,H$1:$L$601,1,FALSE)</f>
        <v>0</v>
      </c>
      <c r="AG225" s="6">
        <f>VLOOKUP(I221,I$1:$L$601,1,FALSE)</f>
        <v>45591</v>
      </c>
      <c r="AH225" s="6" t="str">
        <f>VLOOKUP(J221,J$1:$L$601,1,FALSE)</f>
        <v>AHMEDABAD</v>
      </c>
      <c r="AI225" s="6" t="str">
        <f>VLOOKUP(K221,K$1:$L$601,1,FALSE)</f>
        <v>B2B</v>
      </c>
      <c r="AJ225" s="6">
        <f>VLOOKUP(L221,L$1:$L$601,1,FALSE)</f>
        <v>2806.56</v>
      </c>
    </row>
    <row r="226" spans="1:36" x14ac:dyDescent="0.25">
      <c r="A226">
        <v>1232</v>
      </c>
      <c r="B226" t="s">
        <v>276</v>
      </c>
      <c r="C226" t="s">
        <v>27</v>
      </c>
      <c r="D226" t="s">
        <v>55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23</v>
      </c>
      <c r="K226" t="s">
        <v>16</v>
      </c>
      <c r="L226" s="2">
        <v>1494.67</v>
      </c>
      <c r="Y226" s="6">
        <f>VLOOKUP(A222,A$1:$L$601,1,FALSE)</f>
        <v>1227</v>
      </c>
      <c r="Z226" s="6" t="str">
        <f>VLOOKUP(B222,B$1:$L$601,1,FALSE)</f>
        <v>Antonio Moses</v>
      </c>
      <c r="AA226" s="6" t="str">
        <f>VLOOKUP(C222,C$1:$L$601,1,FALSE)</f>
        <v>Accessories</v>
      </c>
      <c r="AB226" s="6" t="str">
        <f>VLOOKUP(D222,D$1:$L$601,1,FALSE)</f>
        <v>Sunglasses</v>
      </c>
      <c r="AC226" s="6">
        <f>VLOOKUP(E222,E$1:$L$601,1,FALSE)</f>
        <v>2</v>
      </c>
      <c r="AD226" s="6">
        <f>VLOOKUP(F222,F$1:$L$601,1,FALSE)</f>
        <v>2706.1301960784322</v>
      </c>
      <c r="AE226" s="6">
        <f>VLOOKUP(G222,G$1:$L$601,1,FALSE)</f>
        <v>0.25</v>
      </c>
      <c r="AF226" s="6">
        <f>VLOOKUP(H222,H$1:$L$601,1,FALSE)</f>
        <v>0</v>
      </c>
      <c r="AG226" s="6">
        <f>VLOOKUP(I222,I$1:$L$601,1,FALSE)</f>
        <v>45356</v>
      </c>
      <c r="AH226" s="6" t="str">
        <f>VLOOKUP(J222,J$1:$L$601,1,FALSE)</f>
        <v>HYDERBAD</v>
      </c>
      <c r="AI226" s="6" t="str">
        <f>VLOOKUP(K222,K$1:$L$601,1,FALSE)</f>
        <v>B2C</v>
      </c>
      <c r="AJ226" s="6">
        <f>VLOOKUP(L222,L$1:$L$601,1,FALSE)</f>
        <v>2096.6799999999998</v>
      </c>
    </row>
    <row r="227" spans="1:36" x14ac:dyDescent="0.25">
      <c r="A227">
        <v>1233</v>
      </c>
      <c r="B227" t="s">
        <v>277</v>
      </c>
      <c r="C227" t="s">
        <v>21</v>
      </c>
      <c r="D227" t="s">
        <v>22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29</v>
      </c>
      <c r="K227" t="s">
        <v>16</v>
      </c>
      <c r="L227" s="2">
        <v>2237.2399999999998</v>
      </c>
      <c r="Y227" s="6">
        <f>VLOOKUP(A223,A$1:$L$601,1,FALSE)</f>
        <v>1229</v>
      </c>
      <c r="Z227" s="6" t="str">
        <f>VLOOKUP(B223,B$1:$L$601,1,FALSE)</f>
        <v>Allen Burton</v>
      </c>
      <c r="AA227" s="6" t="str">
        <f>VLOOKUP(C223,C$1:$L$601,1,FALSE)</f>
        <v>Dresses</v>
      </c>
      <c r="AB227" s="6" t="str">
        <f>VLOOKUP(D223,D$1:$L$601,1,FALSE)</f>
        <v>Bodycon</v>
      </c>
      <c r="AC227" s="6">
        <f>VLOOKUP(E223,E$1:$L$601,1,FALSE)</f>
        <v>2.1864406779661016</v>
      </c>
      <c r="AD227" s="6">
        <f>VLOOKUP(F223,F$1:$L$601,1,FALSE)</f>
        <v>2949.9901960784309</v>
      </c>
      <c r="AE227" s="6">
        <f>VLOOKUP(G223,G$1:$L$601,1,FALSE)</f>
        <v>0.55000000000000004</v>
      </c>
      <c r="AF227" s="6">
        <f>VLOOKUP(H223,H$1:$L$601,1,FALSE)</f>
        <v>0</v>
      </c>
      <c r="AG227" s="6">
        <f>VLOOKUP(I223,I$1:$L$601,1,FALSE)</f>
        <v>45626.838268792708</v>
      </c>
      <c r="AH227" s="6" t="str">
        <f>VLOOKUP(J223,J$1:$L$601,1,FALSE)</f>
        <v>DELHI</v>
      </c>
      <c r="AI227" s="6" t="str">
        <f>VLOOKUP(K223,K$1:$L$601,1,FALSE)</f>
        <v>B2C</v>
      </c>
      <c r="AJ227" s="6">
        <f>VLOOKUP(L223,L$1:$L$601,1,FALSE)</f>
        <v>925.22</v>
      </c>
    </row>
    <row r="228" spans="1:36" x14ac:dyDescent="0.25">
      <c r="A228">
        <v>1234</v>
      </c>
      <c r="B228" t="s">
        <v>278</v>
      </c>
      <c r="C228" t="s">
        <v>13</v>
      </c>
      <c r="D228" t="s">
        <v>51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48</v>
      </c>
      <c r="K228" t="s">
        <v>24</v>
      </c>
      <c r="L228" s="2">
        <v>110.58</v>
      </c>
      <c r="Y228" s="6">
        <f>VLOOKUP(A224,A$1:$L$601,1,FALSE)</f>
        <v>1230</v>
      </c>
      <c r="Z228" s="6" t="str">
        <f>VLOOKUP(B224,B$1:$L$601,1,FALSE)</f>
        <v>Adam Bennett</v>
      </c>
      <c r="AA228" s="6" t="str">
        <f>VLOOKUP(C224,C$1:$L$601,1,FALSE)</f>
        <v>Accessories</v>
      </c>
      <c r="AB228" s="6" t="str">
        <f>VLOOKUP(D224,D$1:$L$601,1,FALSE)</f>
        <v>Watches</v>
      </c>
      <c r="AC228" s="6">
        <f>VLOOKUP(E224,E$1:$L$601,1,FALSE)</f>
        <v>3</v>
      </c>
      <c r="AD228" s="6">
        <f>VLOOKUP(F224,F$1:$L$601,1,FALSE)</f>
        <v>2706.1301960784322</v>
      </c>
      <c r="AE228" s="6">
        <f>VLOOKUP(G224,G$1:$L$601,1,FALSE)</f>
        <v>1.2E-2</v>
      </c>
      <c r="AF228" s="6">
        <f>VLOOKUP(H224,H$1:$L$601,1,FALSE)</f>
        <v>0</v>
      </c>
      <c r="AG228" s="6">
        <f>VLOOKUP(I224,I$1:$L$601,1,FALSE)</f>
        <v>45626.838268792708</v>
      </c>
      <c r="AH228" s="6" t="str">
        <f>VLOOKUP(J224,J$1:$L$601,1,FALSE)</f>
        <v>HYDERBAD</v>
      </c>
      <c r="AI228" s="6" t="str">
        <f>VLOOKUP(K224,K$1:$L$601,1,FALSE)</f>
        <v>B2C</v>
      </c>
      <c r="AJ228" s="6">
        <f>VLOOKUP(L224,L$1:$L$601,1,FALSE)</f>
        <v>2725.11</v>
      </c>
    </row>
    <row r="229" spans="1:36" x14ac:dyDescent="0.25">
      <c r="A229">
        <v>1235</v>
      </c>
      <c r="B229" t="s">
        <v>279</v>
      </c>
      <c r="C229" t="s">
        <v>21</v>
      </c>
      <c r="D229" t="s">
        <v>79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33</v>
      </c>
      <c r="K229" t="s">
        <v>24</v>
      </c>
      <c r="L229" s="2">
        <v>-403.94</v>
      </c>
      <c r="Y229" s="6">
        <f>VLOOKUP(A225,A$1:$L$601,1,FALSE)</f>
        <v>1231</v>
      </c>
      <c r="Z229" s="6" t="str">
        <f>VLOOKUP(B225,B$1:$L$601,1,FALSE)</f>
        <v>Ashley Stevens</v>
      </c>
      <c r="AA229" s="6" t="str">
        <f>VLOOKUP(C225,C$1:$L$601,1,FALSE)</f>
        <v>Shoes</v>
      </c>
      <c r="AB229" s="6" t="str">
        <f>VLOOKUP(D225,D$1:$L$601,1,FALSE)</f>
        <v>Slip-Ons</v>
      </c>
      <c r="AC229" s="6">
        <f>VLOOKUP(E225,E$1:$L$601,1,FALSE)</f>
        <v>1</v>
      </c>
      <c r="AD229" s="6">
        <f>VLOOKUP(F225,F$1:$L$601,1,FALSE)</f>
        <v>1744.73</v>
      </c>
      <c r="AE229" s="6">
        <f>VLOOKUP(G225,G$1:$L$601,1,FALSE)</f>
        <v>0.59740740740740739</v>
      </c>
      <c r="AF229" s="6">
        <f>VLOOKUP(H225,H$1:$L$601,1,FALSE)</f>
        <v>0</v>
      </c>
      <c r="AG229" s="6">
        <f>VLOOKUP(I225,I$1:$L$601,1,FALSE)</f>
        <v>45626.838268792708</v>
      </c>
      <c r="AH229" s="6" t="str">
        <f>VLOOKUP(J225,J$1:$L$601,1,FALSE)</f>
        <v>PUNE</v>
      </c>
      <c r="AI229" s="6" t="str">
        <f>VLOOKUP(K225,K$1:$L$601,1,FALSE)</f>
        <v>B2B</v>
      </c>
      <c r="AJ229" s="6">
        <f>VLOOKUP(L225,L$1:$L$601,1,FALSE)</f>
        <v>1393.69</v>
      </c>
    </row>
    <row r="230" spans="1:36" x14ac:dyDescent="0.25">
      <c r="A230">
        <v>1237</v>
      </c>
      <c r="B230" t="s">
        <v>280</v>
      </c>
      <c r="C230" t="s">
        <v>36</v>
      </c>
      <c r="D230" t="s">
        <v>71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48</v>
      </c>
      <c r="K230" t="s">
        <v>16</v>
      </c>
      <c r="L230" s="2">
        <v>-465.98</v>
      </c>
      <c r="Y230" s="6">
        <f>VLOOKUP(A226,A$1:$L$601,1,FALSE)</f>
        <v>1232</v>
      </c>
      <c r="Z230" s="6" t="str">
        <f>VLOOKUP(B226,B$1:$L$601,1,FALSE)</f>
        <v>Sierra Miller</v>
      </c>
      <c r="AA230" s="6" t="str">
        <f>VLOOKUP(C226,C$1:$L$601,1,FALSE)</f>
        <v>Shoes</v>
      </c>
      <c r="AB230" s="6" t="str">
        <f>VLOOKUP(D226,D$1:$L$601,1,FALSE)</f>
        <v>Sneakers</v>
      </c>
      <c r="AC230" s="6">
        <f>VLOOKUP(E226,E$1:$L$601,1,FALSE)</f>
        <v>2</v>
      </c>
      <c r="AD230" s="6">
        <f>VLOOKUP(F226,F$1:$L$601,1,FALSE)</f>
        <v>2526.77</v>
      </c>
      <c r="AE230" s="6">
        <f>VLOOKUP(G226,G$1:$L$601,1,FALSE)</f>
        <v>0.59740740740740739</v>
      </c>
      <c r="AF230" s="6">
        <f>VLOOKUP(H226,H$1:$L$601,1,FALSE)</f>
        <v>0</v>
      </c>
      <c r="AG230" s="6">
        <f>VLOOKUP(I226,I$1:$L$601,1,FALSE)</f>
        <v>45183</v>
      </c>
      <c r="AH230" s="6" t="str">
        <f>VLOOKUP(J226,J$1:$L$601,1,FALSE)</f>
        <v>MUMBAI</v>
      </c>
      <c r="AI230" s="6" t="str">
        <f>VLOOKUP(K226,K$1:$L$601,1,FALSE)</f>
        <v>B2C</v>
      </c>
      <c r="AJ230" s="6">
        <f>VLOOKUP(L226,L$1:$L$601,1,FALSE)</f>
        <v>1494.67</v>
      </c>
    </row>
    <row r="231" spans="1:36" x14ac:dyDescent="0.25">
      <c r="A231">
        <v>1238</v>
      </c>
      <c r="B231" t="s">
        <v>281</v>
      </c>
      <c r="C231" t="s">
        <v>27</v>
      </c>
      <c r="D231" t="s">
        <v>65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48</v>
      </c>
      <c r="K231" t="s">
        <v>16</v>
      </c>
      <c r="L231" s="2">
        <v>2742.61</v>
      </c>
      <c r="Y231" s="6">
        <f>VLOOKUP(A227,A$1:$L$601,1,FALSE)</f>
        <v>1233</v>
      </c>
      <c r="Z231" s="6" t="str">
        <f>VLOOKUP(B227,B$1:$L$601,1,FALSE)</f>
        <v>Katie Garcia</v>
      </c>
      <c r="AA231" s="6" t="str">
        <f>VLOOKUP(C227,C$1:$L$601,1,FALSE)</f>
        <v>Jackets</v>
      </c>
      <c r="AB231" s="6" t="str">
        <f>VLOOKUP(D227,D$1:$L$601,1,FALSE)</f>
        <v>Puffer Coat</v>
      </c>
      <c r="AC231" s="6">
        <f>VLOOKUP(E227,E$1:$L$601,1,FALSE)</f>
        <v>1.5178571428571428</v>
      </c>
      <c r="AD231" s="6">
        <f>VLOOKUP(F227,F$1:$L$601,1,FALSE)</f>
        <v>2811.5702272727276</v>
      </c>
      <c r="AE231" s="6">
        <f>VLOOKUP(G227,G$1:$L$601,1,FALSE)</f>
        <v>7.0000000000000007E-2</v>
      </c>
      <c r="AF231" s="6">
        <f>VLOOKUP(H227,H$1:$L$601,1,FALSE)</f>
        <v>0</v>
      </c>
      <c r="AG231" s="6">
        <f>VLOOKUP(I227,I$1:$L$601,1,FALSE)</f>
        <v>45772</v>
      </c>
      <c r="AH231" s="6" t="str">
        <f>VLOOKUP(J227,J$1:$L$601,1,FALSE)</f>
        <v>BANGALORE</v>
      </c>
      <c r="AI231" s="6" t="str">
        <f>VLOOKUP(K227,K$1:$L$601,1,FALSE)</f>
        <v>B2C</v>
      </c>
      <c r="AJ231" s="6">
        <f>VLOOKUP(L227,L$1:$L$601,1,FALSE)</f>
        <v>2237.2399999999998</v>
      </c>
    </row>
    <row r="232" spans="1:36" x14ac:dyDescent="0.25">
      <c r="A232">
        <v>1239</v>
      </c>
      <c r="B232" t="s">
        <v>282</v>
      </c>
      <c r="C232" t="s">
        <v>36</v>
      </c>
      <c r="D232" t="s">
        <v>81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24</v>
      </c>
      <c r="L232" s="2">
        <v>1097.8800000000001</v>
      </c>
      <c r="Y232" s="6">
        <f>VLOOKUP(A228,A$1:$L$601,1,FALSE)</f>
        <v>1234</v>
      </c>
      <c r="Z232" s="6" t="str">
        <f>VLOOKUP(B228,B$1:$L$601,1,FALSE)</f>
        <v>Timothy Goodman</v>
      </c>
      <c r="AA232" s="6" t="str">
        <f>VLOOKUP(C228,C$1:$L$601,1,FALSE)</f>
        <v>Jeans</v>
      </c>
      <c r="AB232" s="6" t="str">
        <f>VLOOKUP(D228,D$1:$L$601,1,FALSE)</f>
        <v>Straight Cut</v>
      </c>
      <c r="AC232" s="6">
        <f>VLOOKUP(E228,E$1:$L$601,1,FALSE)</f>
        <v>2.1052631578947367</v>
      </c>
      <c r="AD232" s="6">
        <f>VLOOKUP(F228,F$1:$L$601,1,FALSE)</f>
        <v>1069.8800000000001</v>
      </c>
      <c r="AE232" s="6">
        <f>VLOOKUP(G228,G$1:$L$601,1,FALSE)</f>
        <v>0.05</v>
      </c>
      <c r="AF232" s="6">
        <f>VLOOKUP(H228,H$1:$L$601,1,FALSE)</f>
        <v>0</v>
      </c>
      <c r="AG232" s="6">
        <f>VLOOKUP(I228,I$1:$L$601,1,FALSE)</f>
        <v>45832</v>
      </c>
      <c r="AH232" s="6" t="str">
        <f>VLOOKUP(J228,J$1:$L$601,1,FALSE)</f>
        <v>PUNE</v>
      </c>
      <c r="AI232" s="6" t="str">
        <f>VLOOKUP(K228,K$1:$L$601,1,FALSE)</f>
        <v>B2B</v>
      </c>
      <c r="AJ232" s="6">
        <f>VLOOKUP(L228,L$1:$L$601,1,FALSE)</f>
        <v>110.58</v>
      </c>
    </row>
    <row r="233" spans="1:36" x14ac:dyDescent="0.25">
      <c r="A233">
        <v>1240</v>
      </c>
      <c r="B233" t="s">
        <v>283</v>
      </c>
      <c r="C233" t="s">
        <v>41</v>
      </c>
      <c r="D233" t="s">
        <v>42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29</v>
      </c>
      <c r="K233" t="s">
        <v>16</v>
      </c>
      <c r="L233" s="2">
        <v>2625.44</v>
      </c>
      <c r="Y233" s="6">
        <f>VLOOKUP(A229,A$1:$L$601,1,FALSE)</f>
        <v>1235</v>
      </c>
      <c r="Z233" s="6" t="str">
        <f>VLOOKUP(B229,B$1:$L$601,1,FALSE)</f>
        <v>Rebecca Drake</v>
      </c>
      <c r="AA233" s="6" t="str">
        <f>VLOOKUP(C229,C$1:$L$601,1,FALSE)</f>
        <v>Jackets</v>
      </c>
      <c r="AB233" s="6" t="str">
        <f>VLOOKUP(D229,D$1:$L$601,1,FALSE)</f>
        <v>Bomber Jacket</v>
      </c>
      <c r="AC233" s="6">
        <f>VLOOKUP(E229,E$1:$L$601,1,FALSE)</f>
        <v>1.8076923076923077</v>
      </c>
      <c r="AD233" s="6">
        <f>VLOOKUP(F229,F$1:$L$601,1,FALSE)</f>
        <v>2811.5702272727276</v>
      </c>
      <c r="AE233" s="6">
        <f>VLOOKUP(G229,G$1:$L$601,1,FALSE)</f>
        <v>0.69969696969696993</v>
      </c>
      <c r="AF233" s="6">
        <f>VLOOKUP(H229,H$1:$L$601,1,FALSE)</f>
        <v>0</v>
      </c>
      <c r="AG233" s="6">
        <f>VLOOKUP(I229,I$1:$L$601,1,FALSE)</f>
        <v>45626.838268792708</v>
      </c>
      <c r="AH233" s="6" t="str">
        <f>VLOOKUP(J229,J$1:$L$601,1,FALSE)</f>
        <v>HYDERBAD</v>
      </c>
      <c r="AI233" s="6" t="str">
        <f>VLOOKUP(K229,K$1:$L$601,1,FALSE)</f>
        <v>B2B</v>
      </c>
      <c r="AJ233" s="6">
        <f>VLOOKUP(L229,L$1:$L$601,1,FALSE)</f>
        <v>-403.94</v>
      </c>
    </row>
    <row r="234" spans="1:36" x14ac:dyDescent="0.25">
      <c r="A234">
        <v>1241</v>
      </c>
      <c r="B234" t="s">
        <v>284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29</v>
      </c>
      <c r="K234" t="s">
        <v>16</v>
      </c>
      <c r="L234" s="2">
        <v>2814.82</v>
      </c>
      <c r="Y234" s="6">
        <f>VLOOKUP(A230,A$1:$L$601,1,FALSE)</f>
        <v>1237</v>
      </c>
      <c r="Z234" s="6" t="str">
        <f>VLOOKUP(B230,B$1:$L$601,1,FALSE)</f>
        <v>Matthew Holloway</v>
      </c>
      <c r="AA234" s="6" t="str">
        <f>VLOOKUP(C230,C$1:$L$601,1,FALSE)</f>
        <v>T-Shirts</v>
      </c>
      <c r="AB234" s="6" t="str">
        <f>VLOOKUP(D230,D$1:$L$601,1,FALSE)</f>
        <v>Classic Tee</v>
      </c>
      <c r="AC234" s="6">
        <f>VLOOKUP(E230,E$1:$L$601,1,FALSE)</f>
        <v>1.5178571428571428</v>
      </c>
      <c r="AD234" s="6">
        <f>VLOOKUP(F230,F$1:$L$601,1,FALSE)</f>
        <v>2742.2927659574466</v>
      </c>
      <c r="AE234" s="6">
        <f>VLOOKUP(G230,G$1:$L$601,1,FALSE)</f>
        <v>0.28999999999999998</v>
      </c>
      <c r="AF234" s="6">
        <f>VLOOKUP(H230,H$1:$L$601,1,FALSE)</f>
        <v>0</v>
      </c>
      <c r="AG234" s="6">
        <f>VLOOKUP(I230,I$1:$L$601,1,FALSE)</f>
        <v>45906</v>
      </c>
      <c r="AH234" s="6" t="str">
        <f>VLOOKUP(J230,J$1:$L$601,1,FALSE)</f>
        <v>PUNE</v>
      </c>
      <c r="AI234" s="6" t="str">
        <f>VLOOKUP(K230,K$1:$L$601,1,FALSE)</f>
        <v>B2C</v>
      </c>
      <c r="AJ234" s="6">
        <f>VLOOKUP(L230,L$1:$L$601,1,FALSE)</f>
        <v>-465.98</v>
      </c>
    </row>
    <row r="235" spans="1:36" x14ac:dyDescent="0.25">
      <c r="A235">
        <v>1242</v>
      </c>
      <c r="B235" t="s">
        <v>285</v>
      </c>
      <c r="C235" t="s">
        <v>13</v>
      </c>
      <c r="D235" t="s">
        <v>101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48</v>
      </c>
      <c r="K235" t="s">
        <v>24</v>
      </c>
      <c r="L235" s="2">
        <v>1576.74</v>
      </c>
      <c r="Y235" s="6">
        <f>VLOOKUP(A231,A$1:$L$601,1,FALSE)</f>
        <v>1238</v>
      </c>
      <c r="Z235" s="6" t="str">
        <f>VLOOKUP(B231,B$1:$L$601,1,FALSE)</f>
        <v>Scott Weeks</v>
      </c>
      <c r="AA235" s="6" t="str">
        <f>VLOOKUP(C231,C$1:$L$601,1,FALSE)</f>
        <v>Shoes</v>
      </c>
      <c r="AB235" s="6" t="str">
        <f>VLOOKUP(D231,D$1:$L$601,1,FALSE)</f>
        <v>Slip-Ons</v>
      </c>
      <c r="AC235" s="6">
        <f>VLOOKUP(E231,E$1:$L$601,1,FALSE)</f>
        <v>1.6216216216216217</v>
      </c>
      <c r="AD235" s="6">
        <f>VLOOKUP(F231,F$1:$L$601,1,FALSE)</f>
        <v>2557.4251351351354</v>
      </c>
      <c r="AE235" s="6">
        <f>VLOOKUP(G231,G$1:$L$601,1,FALSE)</f>
        <v>0.59740740740740739</v>
      </c>
      <c r="AF235" s="6">
        <f>VLOOKUP(H231,H$1:$L$601,1,FALSE)</f>
        <v>0</v>
      </c>
      <c r="AG235" s="6">
        <f>VLOOKUP(I231,I$1:$L$601,1,FALSE)</f>
        <v>45626.838268792708</v>
      </c>
      <c r="AH235" s="6" t="str">
        <f>VLOOKUP(J231,J$1:$L$601,1,FALSE)</f>
        <v>PUNE</v>
      </c>
      <c r="AI235" s="6" t="str">
        <f>VLOOKUP(K231,K$1:$L$601,1,FALSE)</f>
        <v>B2C</v>
      </c>
      <c r="AJ235" s="6">
        <f>VLOOKUP(L231,L$1:$L$601,1,FALSE)</f>
        <v>2742.61</v>
      </c>
    </row>
    <row r="236" spans="1:36" x14ac:dyDescent="0.25">
      <c r="A236">
        <v>1243</v>
      </c>
      <c r="B236" t="s">
        <v>286</v>
      </c>
      <c r="C236" t="s">
        <v>31</v>
      </c>
      <c r="D236" t="s">
        <v>140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19</v>
      </c>
      <c r="K236" t="s">
        <v>16</v>
      </c>
      <c r="L236" s="2">
        <v>779.51</v>
      </c>
      <c r="Y236" s="6">
        <f>VLOOKUP(A232,A$1:$L$601,1,FALSE)</f>
        <v>1239</v>
      </c>
      <c r="Z236" s="6" t="str">
        <f>VLOOKUP(B232,B$1:$L$601,1,FALSE)</f>
        <v>Karina Davis</v>
      </c>
      <c r="AA236" s="6" t="str">
        <f>VLOOKUP(C232,C$1:$L$601,1,FALSE)</f>
        <v>T-Shirts</v>
      </c>
      <c r="AB236" s="6" t="str">
        <f>VLOOKUP(D232,D$1:$L$601,1,FALSE)</f>
        <v>Graphic Tee</v>
      </c>
      <c r="AC236" s="6">
        <f>VLOOKUP(E232,E$1:$L$601,1,FALSE)</f>
        <v>4</v>
      </c>
      <c r="AD236" s="6">
        <f>VLOOKUP(F232,F$1:$L$601,1,FALSE)</f>
        <v>644.58000000000004</v>
      </c>
      <c r="AE236" s="6">
        <f>VLOOKUP(G232,G$1:$L$601,1,FALSE)</f>
        <v>0.65787878787878773</v>
      </c>
      <c r="AF236" s="6">
        <f>VLOOKUP(H232,H$1:$L$601,1,FALSE)</f>
        <v>0</v>
      </c>
      <c r="AG236" s="6">
        <f>VLOOKUP(I232,I$1:$L$601,1,FALSE)</f>
        <v>45585</v>
      </c>
      <c r="AH236" s="6" t="str">
        <f>VLOOKUP(J232,J$1:$L$601,1,FALSE)</f>
        <v>DELHI</v>
      </c>
      <c r="AI236" s="6" t="str">
        <f>VLOOKUP(K232,K$1:$L$601,1,FALSE)</f>
        <v>B2B</v>
      </c>
      <c r="AJ236" s="6">
        <f>VLOOKUP(L232,L$1:$L$601,1,FALSE)</f>
        <v>1097.8800000000001</v>
      </c>
    </row>
    <row r="237" spans="1:36" x14ac:dyDescent="0.25">
      <c r="A237">
        <v>1244</v>
      </c>
      <c r="B237" t="s">
        <v>287</v>
      </c>
      <c r="C237" t="s">
        <v>41</v>
      </c>
      <c r="D237" t="s">
        <v>59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19</v>
      </c>
      <c r="K237" t="s">
        <v>16</v>
      </c>
      <c r="L237" s="2">
        <v>2574.7600000000002</v>
      </c>
      <c r="Y237" s="6">
        <f>VLOOKUP(A233,A$1:$L$601,1,FALSE)</f>
        <v>1240</v>
      </c>
      <c r="Z237" s="6" t="str">
        <f>VLOOKUP(B233,B$1:$L$601,1,FALSE)</f>
        <v>Melanie Ramirez</v>
      </c>
      <c r="AA237" s="6" t="str">
        <f>VLOOKUP(C233,C$1:$L$601,1,FALSE)</f>
        <v>Dresses</v>
      </c>
      <c r="AB237" s="6" t="str">
        <f>VLOOKUP(D233,D$1:$L$601,1,FALSE)</f>
        <v>Casual Midi</v>
      </c>
      <c r="AC237" s="6">
        <f>VLOOKUP(E233,E$1:$L$601,1,FALSE)</f>
        <v>2.1864406779661016</v>
      </c>
      <c r="AD237" s="6">
        <f>VLOOKUP(F233,F$1:$L$601,1,FALSE)</f>
        <v>4634.13</v>
      </c>
      <c r="AE237" s="6">
        <f>VLOOKUP(G233,G$1:$L$601,1,FALSE)</f>
        <v>0.55000000000000004</v>
      </c>
      <c r="AF237" s="6">
        <f>VLOOKUP(H233,H$1:$L$601,1,FALSE)</f>
        <v>0</v>
      </c>
      <c r="AG237" s="6">
        <f>VLOOKUP(I233,I$1:$L$601,1,FALSE)</f>
        <v>45136</v>
      </c>
      <c r="AH237" s="6" t="str">
        <f>VLOOKUP(J233,J$1:$L$601,1,FALSE)</f>
        <v>BANGALORE</v>
      </c>
      <c r="AI237" s="6" t="str">
        <f>VLOOKUP(K233,K$1:$L$601,1,FALSE)</f>
        <v>B2C</v>
      </c>
      <c r="AJ237" s="6">
        <f>VLOOKUP(L233,L$1:$L$601,1,FALSE)</f>
        <v>2625.44</v>
      </c>
    </row>
    <row r="238" spans="1:36" x14ac:dyDescent="0.25">
      <c r="A238">
        <v>1245</v>
      </c>
      <c r="B238" t="s">
        <v>288</v>
      </c>
      <c r="C238" t="s">
        <v>36</v>
      </c>
      <c r="D238" t="s">
        <v>71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  <c r="Y238" s="6">
        <f>VLOOKUP(A234,A$1:$L$601,1,FALSE)</f>
        <v>1241</v>
      </c>
      <c r="Z238" s="6" t="str">
        <f>VLOOKUP(B234,B$1:$L$601,1,FALSE)</f>
        <v>Caroline Thomas</v>
      </c>
      <c r="AA238" s="6" t="str">
        <f>VLOOKUP(C234,C$1:$L$601,1,FALSE)</f>
        <v>Jeans</v>
      </c>
      <c r="AB238" s="6" t="str">
        <f>VLOOKUP(D234,D$1:$L$601,1,FALSE)</f>
        <v>Slim Fit Jeans</v>
      </c>
      <c r="AC238" s="6">
        <f>VLOOKUP(E234,E$1:$L$601,1,FALSE)</f>
        <v>6</v>
      </c>
      <c r="AD238" s="6">
        <f>VLOOKUP(F234,F$1:$L$601,1,FALSE)</f>
        <v>3111.95</v>
      </c>
      <c r="AE238" s="6">
        <f>VLOOKUP(G234,G$1:$L$601,1,FALSE)</f>
        <v>0.58977272727272723</v>
      </c>
      <c r="AF238" s="6">
        <f>VLOOKUP(H234,H$1:$L$601,1,FALSE)</f>
        <v>0</v>
      </c>
      <c r="AG238" s="6">
        <f>VLOOKUP(I234,I$1:$L$601,1,FALSE)</f>
        <v>45465</v>
      </c>
      <c r="AH238" s="6" t="str">
        <f>VLOOKUP(J234,J$1:$L$601,1,FALSE)</f>
        <v>BANGALORE</v>
      </c>
      <c r="AI238" s="6" t="str">
        <f>VLOOKUP(K234,K$1:$L$601,1,FALSE)</f>
        <v>B2C</v>
      </c>
      <c r="AJ238" s="6">
        <f>VLOOKUP(L234,L$1:$L$601,1,FALSE)</f>
        <v>2814.82</v>
      </c>
    </row>
    <row r="239" spans="1:36" x14ac:dyDescent="0.25">
      <c r="A239">
        <v>1246</v>
      </c>
      <c r="B239" t="s">
        <v>289</v>
      </c>
      <c r="C239" t="s">
        <v>41</v>
      </c>
      <c r="D239" t="s">
        <v>59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33</v>
      </c>
      <c r="K239" t="s">
        <v>16</v>
      </c>
      <c r="L239" s="2">
        <v>733.8</v>
      </c>
      <c r="Y239" s="6">
        <f>VLOOKUP(A235,A$1:$L$601,1,FALSE)</f>
        <v>1242</v>
      </c>
      <c r="Z239" s="6" t="str">
        <f>VLOOKUP(B235,B$1:$L$601,1,FALSE)</f>
        <v>Pamela Navarro</v>
      </c>
      <c r="AA239" s="6" t="str">
        <f>VLOOKUP(C235,C$1:$L$601,1,FALSE)</f>
        <v>Jeans</v>
      </c>
      <c r="AB239" s="6" t="str">
        <f>VLOOKUP(D235,D$1:$L$601,1,FALSE)</f>
        <v>Ripped Denim</v>
      </c>
      <c r="AC239" s="6">
        <f>VLOOKUP(E235,E$1:$L$601,1,FALSE)</f>
        <v>1.5178571428571428</v>
      </c>
      <c r="AD239" s="6">
        <f>VLOOKUP(F235,F$1:$L$601,1,FALSE)</f>
        <v>2676.4254237288142</v>
      </c>
      <c r="AE239" s="6">
        <f>VLOOKUP(G235,G$1:$L$601,1,FALSE)</f>
        <v>0.58977272727272723</v>
      </c>
      <c r="AF239" s="6">
        <f>VLOOKUP(H235,H$1:$L$601,1,FALSE)</f>
        <v>0</v>
      </c>
      <c r="AG239" s="6">
        <f>VLOOKUP(I235,I$1:$L$601,1,FALSE)</f>
        <v>45706</v>
      </c>
      <c r="AH239" s="6" t="str">
        <f>VLOOKUP(J235,J$1:$L$601,1,FALSE)</f>
        <v>PUNE</v>
      </c>
      <c r="AI239" s="6" t="str">
        <f>VLOOKUP(K235,K$1:$L$601,1,FALSE)</f>
        <v>B2B</v>
      </c>
      <c r="AJ239" s="6">
        <f>VLOOKUP(L235,L$1:$L$601,1,FALSE)</f>
        <v>1576.74</v>
      </c>
    </row>
    <row r="240" spans="1:36" x14ac:dyDescent="0.25">
      <c r="A240">
        <v>1247</v>
      </c>
      <c r="B240" t="s">
        <v>290</v>
      </c>
      <c r="C240" t="s">
        <v>36</v>
      </c>
      <c r="D240" t="s">
        <v>37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33</v>
      </c>
      <c r="K240" t="s">
        <v>24</v>
      </c>
      <c r="L240" s="2">
        <v>1605.97</v>
      </c>
      <c r="Y240" s="6">
        <f>VLOOKUP(A236,A$1:$L$601,1,FALSE)</f>
        <v>1243</v>
      </c>
      <c r="Z240" s="6" t="str">
        <f>VLOOKUP(B236,B$1:$L$601,1,FALSE)</f>
        <v>Jack Mccoy</v>
      </c>
      <c r="AA240" s="6" t="str">
        <f>VLOOKUP(C236,C$1:$L$601,1,FALSE)</f>
        <v>Accessories</v>
      </c>
      <c r="AB240" s="6" t="str">
        <f>VLOOKUP(D236,D$1:$L$601,1,FALSE)</f>
        <v>Caps</v>
      </c>
      <c r="AC240" s="6">
        <f>VLOOKUP(E236,E$1:$L$601,1,FALSE)</f>
        <v>3</v>
      </c>
      <c r="AD240" s="6">
        <f>VLOOKUP(F236,F$1:$L$601,1,FALSE)</f>
        <v>2706.1301960784322</v>
      </c>
      <c r="AE240" s="6">
        <f>VLOOKUP(G236,G$1:$L$601,1,FALSE)</f>
        <v>0.69</v>
      </c>
      <c r="AF240" s="6">
        <f>VLOOKUP(H236,H$1:$L$601,1,FALSE)</f>
        <v>0</v>
      </c>
      <c r="AG240" s="6">
        <f>VLOOKUP(I236,I$1:$L$601,1,FALSE)</f>
        <v>45628</v>
      </c>
      <c r="AH240" s="6" t="str">
        <f>VLOOKUP(J236,J$1:$L$601,1,FALSE)</f>
        <v>AHMEDABAD</v>
      </c>
      <c r="AI240" s="6" t="str">
        <f>VLOOKUP(K236,K$1:$L$601,1,FALSE)</f>
        <v>B2C</v>
      </c>
      <c r="AJ240" s="6">
        <f>VLOOKUP(L236,L$1:$L$601,1,FALSE)</f>
        <v>779.51</v>
      </c>
    </row>
    <row r="241" spans="1:36" x14ac:dyDescent="0.25">
      <c r="A241">
        <v>1248</v>
      </c>
      <c r="B241" t="s">
        <v>291</v>
      </c>
      <c r="C241" t="s">
        <v>31</v>
      </c>
      <c r="D241" t="s">
        <v>119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23</v>
      </c>
      <c r="K241" t="s">
        <v>24</v>
      </c>
      <c r="L241" s="2">
        <v>397.41</v>
      </c>
      <c r="Y241" s="6">
        <f>VLOOKUP(A237,A$1:$L$601,1,FALSE)</f>
        <v>1244</v>
      </c>
      <c r="Z241" s="6" t="str">
        <f>VLOOKUP(B237,B$1:$L$601,1,FALSE)</f>
        <v>Ashley Walker</v>
      </c>
      <c r="AA241" s="6" t="str">
        <f>VLOOKUP(C237,C$1:$L$601,1,FALSE)</f>
        <v>Dresses</v>
      </c>
      <c r="AB241" s="6" t="str">
        <f>VLOOKUP(D237,D$1:$L$601,1,FALSE)</f>
        <v>Maxi Dress</v>
      </c>
      <c r="AC241" s="6">
        <f>VLOOKUP(E237,E$1:$L$601,1,FALSE)</f>
        <v>6</v>
      </c>
      <c r="AD241" s="6">
        <f>VLOOKUP(F237,F$1:$L$601,1,FALSE)</f>
        <v>2949.9901960784309</v>
      </c>
      <c r="AE241" s="6">
        <f>VLOOKUP(G237,G$1:$L$601,1,FALSE)</f>
        <v>0.55000000000000004</v>
      </c>
      <c r="AF241" s="6">
        <f>VLOOKUP(H237,H$1:$L$601,1,FALSE)</f>
        <v>0</v>
      </c>
      <c r="AG241" s="6">
        <f>VLOOKUP(I237,I$1:$L$601,1,FALSE)</f>
        <v>45472</v>
      </c>
      <c r="AH241" s="6" t="str">
        <f>VLOOKUP(J237,J$1:$L$601,1,FALSE)</f>
        <v>AHMEDABAD</v>
      </c>
      <c r="AI241" s="6" t="str">
        <f>VLOOKUP(K237,K$1:$L$601,1,FALSE)</f>
        <v>B2C</v>
      </c>
      <c r="AJ241" s="6">
        <f>VLOOKUP(L237,L$1:$L$601,1,FALSE)</f>
        <v>2574.7600000000002</v>
      </c>
    </row>
    <row r="242" spans="1:36" x14ac:dyDescent="0.25">
      <c r="A242">
        <v>1249</v>
      </c>
      <c r="B242" t="s">
        <v>292</v>
      </c>
      <c r="C242" t="s">
        <v>31</v>
      </c>
      <c r="D242" t="s">
        <v>140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48</v>
      </c>
      <c r="K242" t="s">
        <v>16</v>
      </c>
      <c r="L242" s="2">
        <v>809.89</v>
      </c>
      <c r="Y242" s="6">
        <f>VLOOKUP(A238,A$1:$L$601,1,FALSE)</f>
        <v>1245</v>
      </c>
      <c r="Z242" s="6" t="str">
        <f>VLOOKUP(B238,B$1:$L$601,1,FALSE)</f>
        <v>Christopher Mcknight</v>
      </c>
      <c r="AA242" s="6" t="str">
        <f>VLOOKUP(C238,C$1:$L$601,1,FALSE)</f>
        <v>T-Shirts</v>
      </c>
      <c r="AB242" s="6" t="str">
        <f>VLOOKUP(D238,D$1:$L$601,1,FALSE)</f>
        <v>Classic Tee</v>
      </c>
      <c r="AC242" s="6">
        <f>VLOOKUP(E238,E$1:$L$601,1,FALSE)</f>
        <v>1.5178571428571428</v>
      </c>
      <c r="AD242" s="6">
        <f>VLOOKUP(F238,F$1:$L$601,1,FALSE)</f>
        <v>1822.9</v>
      </c>
      <c r="AE242" s="6">
        <f>VLOOKUP(G238,G$1:$L$601,1,FALSE)</f>
        <v>0.65787878787878773</v>
      </c>
      <c r="AF242" s="6">
        <f>VLOOKUP(H238,H$1:$L$601,1,FALSE)</f>
        <v>0</v>
      </c>
      <c r="AG242" s="6">
        <f>VLOOKUP(I238,I$1:$L$601,1,FALSE)</f>
        <v>45639</v>
      </c>
      <c r="AH242" s="6" t="str">
        <f>VLOOKUP(J238,J$1:$L$601,1,FALSE)</f>
        <v>DELHI</v>
      </c>
      <c r="AI242" s="6" t="str">
        <f>VLOOKUP(K238,K$1:$L$601,1,FALSE)</f>
        <v>B2C</v>
      </c>
      <c r="AJ242" s="6">
        <f>VLOOKUP(L238,L$1:$L$601,1,FALSE)</f>
        <v>1076.3399999999999</v>
      </c>
    </row>
    <row r="243" spans="1:36" x14ac:dyDescent="0.25">
      <c r="A243">
        <v>1250</v>
      </c>
      <c r="B243" t="s">
        <v>293</v>
      </c>
      <c r="C243" t="s">
        <v>27</v>
      </c>
      <c r="D243" t="s">
        <v>65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24</v>
      </c>
      <c r="L243" s="2">
        <v>1653.07</v>
      </c>
      <c r="Y243" s="6">
        <f>VLOOKUP(A239,A$1:$L$601,1,FALSE)</f>
        <v>1246</v>
      </c>
      <c r="Z243" s="6" t="str">
        <f>VLOOKUP(B239,B$1:$L$601,1,FALSE)</f>
        <v>Dr. Derrick Scott</v>
      </c>
      <c r="AA243" s="6" t="str">
        <f>VLOOKUP(C239,C$1:$L$601,1,FALSE)</f>
        <v>Dresses</v>
      </c>
      <c r="AB243" s="6" t="str">
        <f>VLOOKUP(D239,D$1:$L$601,1,FALSE)</f>
        <v>Maxi Dress</v>
      </c>
      <c r="AC243" s="6">
        <f>VLOOKUP(E239,E$1:$L$601,1,FALSE)</f>
        <v>0</v>
      </c>
      <c r="AD243" s="6">
        <f>VLOOKUP(F239,F$1:$L$601,1,FALSE)</f>
        <v>2949.9901960784309</v>
      </c>
      <c r="AE243" s="6">
        <f>VLOOKUP(G239,G$1:$L$601,1,FALSE)</f>
        <v>0.03</v>
      </c>
      <c r="AF243" s="6">
        <f>VLOOKUP(H239,H$1:$L$601,1,FALSE)</f>
        <v>0</v>
      </c>
      <c r="AG243" s="6">
        <f>VLOOKUP(I239,I$1:$L$601,1,FALSE)</f>
        <v>45626.838268792708</v>
      </c>
      <c r="AH243" s="6" t="str">
        <f>VLOOKUP(J239,J$1:$L$601,1,FALSE)</f>
        <v>HYDERBAD</v>
      </c>
      <c r="AI243" s="6" t="str">
        <f>VLOOKUP(K239,K$1:$L$601,1,FALSE)</f>
        <v>B2C</v>
      </c>
      <c r="AJ243" s="6">
        <f>VLOOKUP(L239,L$1:$L$601,1,FALSE)</f>
        <v>733.8</v>
      </c>
    </row>
    <row r="244" spans="1:36" x14ac:dyDescent="0.25">
      <c r="A244">
        <v>1251</v>
      </c>
      <c r="B244" t="s">
        <v>294</v>
      </c>
      <c r="C244" t="s">
        <v>41</v>
      </c>
      <c r="D244" t="s">
        <v>42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48</v>
      </c>
      <c r="K244" t="s">
        <v>16</v>
      </c>
      <c r="L244" s="2">
        <v>578.37</v>
      </c>
      <c r="Y244" s="6">
        <f>VLOOKUP(A240,A$1:$L$601,1,FALSE)</f>
        <v>1247</v>
      </c>
      <c r="Z244" s="6" t="str">
        <f>VLOOKUP(B240,B$1:$L$601,1,FALSE)</f>
        <v>Jared Tate</v>
      </c>
      <c r="AA244" s="6" t="str">
        <f>VLOOKUP(C240,C$1:$L$601,1,FALSE)</f>
        <v>T-Shirts</v>
      </c>
      <c r="AB244" s="6" t="str">
        <f>VLOOKUP(D240,D$1:$L$601,1,FALSE)</f>
        <v>Crop Top</v>
      </c>
      <c r="AC244" s="6">
        <f>VLOOKUP(E240,E$1:$L$601,1,FALSE)</f>
        <v>1.5178571428571428</v>
      </c>
      <c r="AD244" s="6">
        <f>VLOOKUP(F240,F$1:$L$601,1,FALSE)</f>
        <v>2742.2927659574466</v>
      </c>
      <c r="AE244" s="6">
        <f>VLOOKUP(G240,G$1:$L$601,1,FALSE)</f>
        <v>0.65787878787878773</v>
      </c>
      <c r="AF244" s="6">
        <f>VLOOKUP(H240,H$1:$L$601,1,FALSE)</f>
        <v>0</v>
      </c>
      <c r="AG244" s="6">
        <f>VLOOKUP(I240,I$1:$L$601,1,FALSE)</f>
        <v>45626.838268792708</v>
      </c>
      <c r="AH244" s="6" t="str">
        <f>VLOOKUP(J240,J$1:$L$601,1,FALSE)</f>
        <v>HYDERBAD</v>
      </c>
      <c r="AI244" s="6" t="str">
        <f>VLOOKUP(K240,K$1:$L$601,1,FALSE)</f>
        <v>B2B</v>
      </c>
      <c r="AJ244" s="6">
        <f>VLOOKUP(L240,L$1:$L$601,1,FALSE)</f>
        <v>1605.97</v>
      </c>
    </row>
    <row r="245" spans="1:36" x14ac:dyDescent="0.25">
      <c r="A245">
        <v>1252</v>
      </c>
      <c r="B245" t="s">
        <v>295</v>
      </c>
      <c r="C245" t="s">
        <v>36</v>
      </c>
      <c r="D245" t="s">
        <v>71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23</v>
      </c>
      <c r="K245" t="s">
        <v>16</v>
      </c>
      <c r="L245" s="2">
        <v>1484.7</v>
      </c>
      <c r="Y245" s="6">
        <f>VLOOKUP(A241,A$1:$L$601,1,FALSE)</f>
        <v>1248</v>
      </c>
      <c r="Z245" s="6" t="str">
        <f>VLOOKUP(B241,B$1:$L$601,1,FALSE)</f>
        <v>Edward Morgan</v>
      </c>
      <c r="AA245" s="6" t="str">
        <f>VLOOKUP(C241,C$1:$L$601,1,FALSE)</f>
        <v>Accessories</v>
      </c>
      <c r="AB245" s="6" t="str">
        <f>VLOOKUP(D241,D$1:$L$601,1,FALSE)</f>
        <v>Watches</v>
      </c>
      <c r="AC245" s="6">
        <f>VLOOKUP(E241,E$1:$L$601,1,FALSE)</f>
        <v>2.4893617021276597</v>
      </c>
      <c r="AD245" s="6">
        <f>VLOOKUP(F241,F$1:$L$601,1,FALSE)</f>
        <v>2706.1301960784322</v>
      </c>
      <c r="AE245" s="6">
        <f>VLOOKUP(G241,G$1:$L$601,1,FALSE)</f>
        <v>1.24E-2</v>
      </c>
      <c r="AF245" s="6">
        <f>VLOOKUP(H241,H$1:$L$601,1,FALSE)</f>
        <v>0</v>
      </c>
      <c r="AG245" s="6">
        <f>VLOOKUP(I241,I$1:$L$601,1,FALSE)</f>
        <v>45130</v>
      </c>
      <c r="AH245" s="6" t="str">
        <f>VLOOKUP(J241,J$1:$L$601,1,FALSE)</f>
        <v>MUMBAI</v>
      </c>
      <c r="AI245" s="6" t="str">
        <f>VLOOKUP(K241,K$1:$L$601,1,FALSE)</f>
        <v>B2B</v>
      </c>
      <c r="AJ245" s="6">
        <f>VLOOKUP(L241,L$1:$L$601,1,FALSE)</f>
        <v>397.41</v>
      </c>
    </row>
    <row r="246" spans="1:36" x14ac:dyDescent="0.25">
      <c r="A246">
        <v>1253</v>
      </c>
      <c r="B246" t="s">
        <v>296</v>
      </c>
      <c r="C246" t="s">
        <v>41</v>
      </c>
      <c r="D246" t="s">
        <v>63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29</v>
      </c>
      <c r="K246" t="s">
        <v>24</v>
      </c>
      <c r="L246" s="2">
        <v>2512.63</v>
      </c>
      <c r="Y246" s="6">
        <f>VLOOKUP(A242,A$1:$L$601,1,FALSE)</f>
        <v>1249</v>
      </c>
      <c r="Z246" s="6" t="str">
        <f>VLOOKUP(B242,B$1:$L$601,1,FALSE)</f>
        <v>Tim Bauer</v>
      </c>
      <c r="AA246" s="6" t="str">
        <f>VLOOKUP(C242,C$1:$L$601,1,FALSE)</f>
        <v>Accessories</v>
      </c>
      <c r="AB246" s="6" t="str">
        <f>VLOOKUP(D242,D$1:$L$601,1,FALSE)</f>
        <v>Caps</v>
      </c>
      <c r="AC246" s="6">
        <f>VLOOKUP(E242,E$1:$L$601,1,FALSE)</f>
        <v>2.4893617021276597</v>
      </c>
      <c r="AD246" s="6">
        <f>VLOOKUP(F242,F$1:$L$601,1,FALSE)</f>
        <v>2706.1301960784322</v>
      </c>
      <c r="AE246" s="6">
        <f>VLOOKUP(G242,G$1:$L$601,1,FALSE)</f>
        <v>0.23</v>
      </c>
      <c r="AF246" s="6">
        <f>VLOOKUP(H242,H$1:$L$601,1,FALSE)</f>
        <v>0</v>
      </c>
      <c r="AG246" s="6">
        <f>VLOOKUP(I242,I$1:$L$601,1,FALSE)</f>
        <v>45574</v>
      </c>
      <c r="AH246" s="6" t="str">
        <f>VLOOKUP(J242,J$1:$L$601,1,FALSE)</f>
        <v>PUNE</v>
      </c>
      <c r="AI246" s="6" t="str">
        <f>VLOOKUP(K242,K$1:$L$601,1,FALSE)</f>
        <v>B2C</v>
      </c>
      <c r="AJ246" s="6">
        <f>VLOOKUP(L242,L$1:$L$601,1,FALSE)</f>
        <v>809.89</v>
      </c>
    </row>
    <row r="247" spans="1:36" x14ac:dyDescent="0.25">
      <c r="A247">
        <v>1254</v>
      </c>
      <c r="B247" t="s">
        <v>297</v>
      </c>
      <c r="C247" t="s">
        <v>27</v>
      </c>
      <c r="D247" t="s">
        <v>65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23</v>
      </c>
      <c r="K247" t="s">
        <v>24</v>
      </c>
      <c r="L247" s="2">
        <v>2418.9899999999998</v>
      </c>
      <c r="Y247" s="6">
        <f>VLOOKUP(A243,A$1:$L$601,1,FALSE)</f>
        <v>1250</v>
      </c>
      <c r="Z247" s="6" t="str">
        <f>VLOOKUP(B243,B$1:$L$601,1,FALSE)</f>
        <v>Anthony Lee</v>
      </c>
      <c r="AA247" s="6" t="str">
        <f>VLOOKUP(C243,C$1:$L$601,1,FALSE)</f>
        <v>Shoes</v>
      </c>
      <c r="AB247" s="6" t="str">
        <f>VLOOKUP(D243,D$1:$L$601,1,FALSE)</f>
        <v>Slip-Ons</v>
      </c>
      <c r="AC247" s="6">
        <f>VLOOKUP(E243,E$1:$L$601,1,FALSE)</f>
        <v>1.6216216216216217</v>
      </c>
      <c r="AD247" s="6">
        <f>VLOOKUP(F243,F$1:$L$601,1,FALSE)</f>
        <v>2557.4251351351354</v>
      </c>
      <c r="AE247" s="6">
        <f>VLOOKUP(G243,G$1:$L$601,1,FALSE)</f>
        <v>0.59740740740740739</v>
      </c>
      <c r="AF247" s="6">
        <f>VLOOKUP(H243,H$1:$L$601,1,FALSE)</f>
        <v>0</v>
      </c>
      <c r="AG247" s="6">
        <f>VLOOKUP(I243,I$1:$L$601,1,FALSE)</f>
        <v>45626.838268792708</v>
      </c>
      <c r="AH247" s="6" t="str">
        <f>VLOOKUP(J243,J$1:$L$601,1,FALSE)</f>
        <v>DELHI</v>
      </c>
      <c r="AI247" s="6" t="str">
        <f>VLOOKUP(K243,K$1:$L$601,1,FALSE)</f>
        <v>B2B</v>
      </c>
      <c r="AJ247" s="6">
        <f>VLOOKUP(L243,L$1:$L$601,1,FALSE)</f>
        <v>1653.07</v>
      </c>
    </row>
    <row r="248" spans="1:36" x14ac:dyDescent="0.25">
      <c r="A248">
        <v>1255</v>
      </c>
      <c r="B248" t="s">
        <v>298</v>
      </c>
      <c r="C248" t="s">
        <v>36</v>
      </c>
      <c r="D248" t="s">
        <v>71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33</v>
      </c>
      <c r="K248" t="s">
        <v>16</v>
      </c>
      <c r="L248" s="2">
        <v>-706.09</v>
      </c>
      <c r="Y248" s="6">
        <f>VLOOKUP(A244,A$1:$L$601,1,FALSE)</f>
        <v>1251</v>
      </c>
      <c r="Z248" s="6" t="str">
        <f>VLOOKUP(B244,B$1:$L$601,1,FALSE)</f>
        <v>Hailey Sullivan</v>
      </c>
      <c r="AA248" s="6" t="str">
        <f>VLOOKUP(C244,C$1:$L$601,1,FALSE)</f>
        <v>Dresses</v>
      </c>
      <c r="AB248" s="6" t="str">
        <f>VLOOKUP(D244,D$1:$L$601,1,FALSE)</f>
        <v>Casual Midi</v>
      </c>
      <c r="AC248" s="6">
        <f>VLOOKUP(E244,E$1:$L$601,1,FALSE)</f>
        <v>2</v>
      </c>
      <c r="AD248" s="6">
        <f>VLOOKUP(F244,F$1:$L$601,1,FALSE)</f>
        <v>4841.3999999999996</v>
      </c>
      <c r="AE248" s="6">
        <f>VLOOKUP(G244,G$1:$L$601,1,FALSE)</f>
        <v>0.6</v>
      </c>
      <c r="AF248" s="6">
        <f>VLOOKUP(H244,H$1:$L$601,1,FALSE)</f>
        <v>3873.12</v>
      </c>
      <c r="AG248" s="6">
        <f>VLOOKUP(I244,I$1:$L$601,1,FALSE)</f>
        <v>45749</v>
      </c>
      <c r="AH248" s="6" t="str">
        <f>VLOOKUP(J244,J$1:$L$601,1,FALSE)</f>
        <v>PUNE</v>
      </c>
      <c r="AI248" s="6" t="str">
        <f>VLOOKUP(K244,K$1:$L$601,1,FALSE)</f>
        <v>B2C</v>
      </c>
      <c r="AJ248" s="6">
        <f>VLOOKUP(L244,L$1:$L$601,1,FALSE)</f>
        <v>578.37</v>
      </c>
    </row>
    <row r="249" spans="1:36" x14ac:dyDescent="0.25">
      <c r="A249">
        <v>1256</v>
      </c>
      <c r="B249" t="s">
        <v>299</v>
      </c>
      <c r="C249" t="s">
        <v>21</v>
      </c>
      <c r="D249" t="s">
        <v>79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29</v>
      </c>
      <c r="K249" t="s">
        <v>16</v>
      </c>
      <c r="L249" s="2">
        <v>2071.1</v>
      </c>
      <c r="Y249" s="6">
        <f>VLOOKUP(A245,A$1:$L$601,1,FALSE)</f>
        <v>1252</v>
      </c>
      <c r="Z249" s="6" t="str">
        <f>VLOOKUP(B245,B$1:$L$601,1,FALSE)</f>
        <v>Brandy Clark</v>
      </c>
      <c r="AA249" s="6" t="str">
        <f>VLOOKUP(C245,C$1:$L$601,1,FALSE)</f>
        <v>T-Shirts</v>
      </c>
      <c r="AB249" s="6" t="str">
        <f>VLOOKUP(D245,D$1:$L$601,1,FALSE)</f>
        <v>Classic Tee</v>
      </c>
      <c r="AC249" s="6">
        <f>VLOOKUP(E245,E$1:$L$601,1,FALSE)</f>
        <v>6</v>
      </c>
      <c r="AD249" s="6">
        <f>VLOOKUP(F245,F$1:$L$601,1,FALSE)</f>
        <v>1638.51</v>
      </c>
      <c r="AE249" s="6">
        <f>VLOOKUP(G245,G$1:$L$601,1,FALSE)</f>
        <v>0.88</v>
      </c>
      <c r="AF249" s="6">
        <f>VLOOKUP(H245,H$1:$L$601,1,FALSE)</f>
        <v>1179.73</v>
      </c>
      <c r="AG249" s="6">
        <f>VLOOKUP(I245,I$1:$L$601,1,FALSE)</f>
        <v>45692</v>
      </c>
      <c r="AH249" s="6" t="str">
        <f>VLOOKUP(J245,J$1:$L$601,1,FALSE)</f>
        <v>MUMBAI</v>
      </c>
      <c r="AI249" s="6" t="str">
        <f>VLOOKUP(K245,K$1:$L$601,1,FALSE)</f>
        <v>B2C</v>
      </c>
      <c r="AJ249" s="6">
        <f>VLOOKUP(L245,L$1:$L$601,1,FALSE)</f>
        <v>1484.7</v>
      </c>
    </row>
    <row r="250" spans="1:36" x14ac:dyDescent="0.25">
      <c r="A250">
        <v>1257</v>
      </c>
      <c r="B250" t="s">
        <v>300</v>
      </c>
      <c r="C250" t="s">
        <v>13</v>
      </c>
      <c r="D250" t="s">
        <v>51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19</v>
      </c>
      <c r="K250" t="s">
        <v>16</v>
      </c>
      <c r="L250" s="2">
        <v>-83.19</v>
      </c>
      <c r="Y250" s="6">
        <f>VLOOKUP(A246,A$1:$L$601,1,FALSE)</f>
        <v>1253</v>
      </c>
      <c r="Z250" s="6" t="str">
        <f>VLOOKUP(B246,B$1:$L$601,1,FALSE)</f>
        <v>Carlos Anderson</v>
      </c>
      <c r="AA250" s="6" t="str">
        <f>VLOOKUP(C246,C$1:$L$601,1,FALSE)</f>
        <v>Dresses</v>
      </c>
      <c r="AB250" s="6" t="str">
        <f>VLOOKUP(D246,D$1:$L$601,1,FALSE)</f>
        <v>Wrap Dress</v>
      </c>
      <c r="AC250" s="6">
        <f>VLOOKUP(E246,E$1:$L$601,1,FALSE)</f>
        <v>2.1864406779661016</v>
      </c>
      <c r="AD250" s="6">
        <f>VLOOKUP(F246,F$1:$L$601,1,FALSE)</f>
        <v>2949.9901960784309</v>
      </c>
      <c r="AE250" s="6">
        <f>VLOOKUP(G246,G$1:$L$601,1,FALSE)</f>
        <v>0.55000000000000004</v>
      </c>
      <c r="AF250" s="6">
        <f>VLOOKUP(H246,H$1:$L$601,1,FALSE)</f>
        <v>0</v>
      </c>
      <c r="AG250" s="6">
        <f>VLOOKUP(I246,I$1:$L$601,1,FALSE)</f>
        <v>45692</v>
      </c>
      <c r="AH250" s="6" t="str">
        <f>VLOOKUP(J246,J$1:$L$601,1,FALSE)</f>
        <v>BANGALORE</v>
      </c>
      <c r="AI250" s="6" t="str">
        <f>VLOOKUP(K246,K$1:$L$601,1,FALSE)</f>
        <v>B2B</v>
      </c>
      <c r="AJ250" s="6">
        <f>VLOOKUP(L246,L$1:$L$601,1,FALSE)</f>
        <v>2512.63</v>
      </c>
    </row>
    <row r="251" spans="1:36" x14ac:dyDescent="0.25">
      <c r="A251">
        <v>1258</v>
      </c>
      <c r="B251" t="s">
        <v>301</v>
      </c>
      <c r="C251" t="s">
        <v>41</v>
      </c>
      <c r="D251" t="s">
        <v>90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  <c r="Y251" s="6">
        <f>VLOOKUP(A247,A$1:$L$601,1,FALSE)</f>
        <v>1254</v>
      </c>
      <c r="Z251" s="6" t="str">
        <f>VLOOKUP(B247,B$1:$L$601,1,FALSE)</f>
        <v>Michael Henson</v>
      </c>
      <c r="AA251" s="6" t="str">
        <f>VLOOKUP(C247,C$1:$L$601,1,FALSE)</f>
        <v>Shoes</v>
      </c>
      <c r="AB251" s="6" t="str">
        <f>VLOOKUP(D247,D$1:$L$601,1,FALSE)</f>
        <v>Slip-Ons</v>
      </c>
      <c r="AC251" s="6">
        <f>VLOOKUP(E247,E$1:$L$601,1,FALSE)</f>
        <v>6</v>
      </c>
      <c r="AD251" s="6">
        <f>VLOOKUP(F247,F$1:$L$601,1,FALSE)</f>
        <v>2557.4251351351354</v>
      </c>
      <c r="AE251" s="6">
        <f>VLOOKUP(G247,G$1:$L$601,1,FALSE)</f>
        <v>0.59740740740740739</v>
      </c>
      <c r="AF251" s="6">
        <f>VLOOKUP(H247,H$1:$L$601,1,FALSE)</f>
        <v>0</v>
      </c>
      <c r="AG251" s="6">
        <f>VLOOKUP(I247,I$1:$L$601,1,FALSE)</f>
        <v>45702</v>
      </c>
      <c r="AH251" s="6" t="str">
        <f>VLOOKUP(J247,J$1:$L$601,1,FALSE)</f>
        <v>MUMBAI</v>
      </c>
      <c r="AI251" s="6" t="str">
        <f>VLOOKUP(K247,K$1:$L$601,1,FALSE)</f>
        <v>B2B</v>
      </c>
      <c r="AJ251" s="6">
        <f>VLOOKUP(L247,L$1:$L$601,1,FALSE)</f>
        <v>2418.9899999999998</v>
      </c>
    </row>
    <row r="252" spans="1:36" x14ac:dyDescent="0.25">
      <c r="A252">
        <v>1259</v>
      </c>
      <c r="B252" t="s">
        <v>302</v>
      </c>
      <c r="C252" t="s">
        <v>27</v>
      </c>
      <c r="D252" t="s">
        <v>85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19</v>
      </c>
      <c r="K252" t="s">
        <v>16</v>
      </c>
      <c r="L252" s="2">
        <v>-830.5</v>
      </c>
      <c r="Y252" s="6">
        <f>VLOOKUP(A248,A$1:$L$601,1,FALSE)</f>
        <v>1255</v>
      </c>
      <c r="Z252" s="6" t="str">
        <f>VLOOKUP(B248,B$1:$L$601,1,FALSE)</f>
        <v>Kim Campos</v>
      </c>
      <c r="AA252" s="6" t="str">
        <f>VLOOKUP(C248,C$1:$L$601,1,FALSE)</f>
        <v>T-Shirts</v>
      </c>
      <c r="AB252" s="6" t="str">
        <f>VLOOKUP(D248,D$1:$L$601,1,FALSE)</f>
        <v>Classic Tee</v>
      </c>
      <c r="AC252" s="6">
        <f>VLOOKUP(E248,E$1:$L$601,1,FALSE)</f>
        <v>4</v>
      </c>
      <c r="AD252" s="6">
        <f>VLOOKUP(F248,F$1:$L$601,1,FALSE)</f>
        <v>1849.68</v>
      </c>
      <c r="AE252" s="6">
        <f>VLOOKUP(G248,G$1:$L$601,1,FALSE)</f>
        <v>0.65787878787878773</v>
      </c>
      <c r="AF252" s="6">
        <f>VLOOKUP(H248,H$1:$L$601,1,FALSE)</f>
        <v>0</v>
      </c>
      <c r="AG252" s="6">
        <f>VLOOKUP(I248,I$1:$L$601,1,FALSE)</f>
        <v>45455</v>
      </c>
      <c r="AH252" s="6" t="str">
        <f>VLOOKUP(J248,J$1:$L$601,1,FALSE)</f>
        <v>HYDERBAD</v>
      </c>
      <c r="AI252" s="6" t="str">
        <f>VLOOKUP(K248,K$1:$L$601,1,FALSE)</f>
        <v>B2C</v>
      </c>
      <c r="AJ252" s="6">
        <f>VLOOKUP(L248,L$1:$L$601,1,FALSE)</f>
        <v>-706.09</v>
      </c>
    </row>
    <row r="253" spans="1:36" x14ac:dyDescent="0.25">
      <c r="A253">
        <v>1260</v>
      </c>
      <c r="B253" t="s">
        <v>303</v>
      </c>
      <c r="C253" t="s">
        <v>41</v>
      </c>
      <c r="D253" t="s">
        <v>59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24</v>
      </c>
      <c r="L253" s="2">
        <v>-817.8</v>
      </c>
      <c r="Y253" s="6">
        <f>VLOOKUP(A249,A$1:$L$601,1,FALSE)</f>
        <v>1256</v>
      </c>
      <c r="Z253" s="6" t="str">
        <f>VLOOKUP(B249,B$1:$L$601,1,FALSE)</f>
        <v>Janet Cooley</v>
      </c>
      <c r="AA253" s="6" t="str">
        <f>VLOOKUP(C249,C$1:$L$601,1,FALSE)</f>
        <v>Jackets</v>
      </c>
      <c r="AB253" s="6" t="str">
        <f>VLOOKUP(D249,D$1:$L$601,1,FALSE)</f>
        <v>Bomber Jacket</v>
      </c>
      <c r="AC253" s="6">
        <f>VLOOKUP(E249,E$1:$L$601,1,FALSE)</f>
        <v>1.8076923076923077</v>
      </c>
      <c r="AD253" s="6">
        <f>VLOOKUP(F249,F$1:$L$601,1,FALSE)</f>
        <v>1801.38</v>
      </c>
      <c r="AE253" s="6">
        <f>VLOOKUP(G249,G$1:$L$601,1,FALSE)</f>
        <v>0.69969696969696993</v>
      </c>
      <c r="AF253" s="6">
        <f>VLOOKUP(H249,H$1:$L$601,1,FALSE)</f>
        <v>0</v>
      </c>
      <c r="AG253" s="6">
        <f>VLOOKUP(I249,I$1:$L$601,1,FALSE)</f>
        <v>45614</v>
      </c>
      <c r="AH253" s="6" t="str">
        <f>VLOOKUP(J249,J$1:$L$601,1,FALSE)</f>
        <v>BANGALORE</v>
      </c>
      <c r="AI253" s="6" t="str">
        <f>VLOOKUP(K249,K$1:$L$601,1,FALSE)</f>
        <v>B2C</v>
      </c>
      <c r="AJ253" s="6">
        <f>VLOOKUP(L249,L$1:$L$601,1,FALSE)</f>
        <v>2071.1</v>
      </c>
    </row>
    <row r="254" spans="1:36" x14ac:dyDescent="0.25">
      <c r="A254">
        <v>1262</v>
      </c>
      <c r="B254" t="s">
        <v>304</v>
      </c>
      <c r="C254" t="s">
        <v>31</v>
      </c>
      <c r="D254" t="s">
        <v>119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29</v>
      </c>
      <c r="K254" t="s">
        <v>24</v>
      </c>
      <c r="L254" s="2">
        <v>786.25</v>
      </c>
      <c r="Y254" s="6">
        <f>VLOOKUP(A250,A$1:$L$601,1,FALSE)</f>
        <v>1257</v>
      </c>
      <c r="Z254" s="6" t="str">
        <f>VLOOKUP(B250,B$1:$L$601,1,FALSE)</f>
        <v>Mr. Matthew Gomez Dds</v>
      </c>
      <c r="AA254" s="6" t="str">
        <f>VLOOKUP(C250,C$1:$L$601,1,FALSE)</f>
        <v>Jeans</v>
      </c>
      <c r="AB254" s="6" t="str">
        <f>VLOOKUP(D250,D$1:$L$601,1,FALSE)</f>
        <v>Straight Cut</v>
      </c>
      <c r="AC254" s="6">
        <f>VLOOKUP(E250,E$1:$L$601,1,FALSE)</f>
        <v>2.1052631578947367</v>
      </c>
      <c r="AD254" s="6">
        <f>VLOOKUP(F250,F$1:$L$601,1,FALSE)</f>
        <v>1228.78</v>
      </c>
      <c r="AE254" s="6">
        <f>VLOOKUP(G250,G$1:$L$601,1,FALSE)</f>
        <v>0.58977272727272723</v>
      </c>
      <c r="AF254" s="6">
        <f>VLOOKUP(H250,H$1:$L$601,1,FALSE)</f>
        <v>0</v>
      </c>
      <c r="AG254" s="6">
        <f>VLOOKUP(I250,I$1:$L$601,1,FALSE)</f>
        <v>45626.838268792708</v>
      </c>
      <c r="AH254" s="6" t="str">
        <f>VLOOKUP(J250,J$1:$L$601,1,FALSE)</f>
        <v>AHMEDABAD</v>
      </c>
      <c r="AI254" s="6" t="str">
        <f>VLOOKUP(K250,K$1:$L$601,1,FALSE)</f>
        <v>B2C</v>
      </c>
      <c r="AJ254" s="6">
        <f>VLOOKUP(L250,L$1:$L$601,1,FALSE)</f>
        <v>-83.19</v>
      </c>
    </row>
    <row r="255" spans="1:36" x14ac:dyDescent="0.25">
      <c r="A255">
        <v>1263</v>
      </c>
      <c r="B255" t="s">
        <v>305</v>
      </c>
      <c r="C255" t="s">
        <v>27</v>
      </c>
      <c r="D255" t="s">
        <v>65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  <c r="Y255" s="6">
        <f>VLOOKUP(A251,A$1:$L$601,1,FALSE)</f>
        <v>1258</v>
      </c>
      <c r="Z255" s="6" t="str">
        <f>VLOOKUP(B251,B$1:$L$601,1,FALSE)</f>
        <v>Shane Gomez</v>
      </c>
      <c r="AA255" s="6" t="str">
        <f>VLOOKUP(C251,C$1:$L$601,1,FALSE)</f>
        <v>Dresses</v>
      </c>
      <c r="AB255" s="6" t="str">
        <f>VLOOKUP(D251,D$1:$L$601,1,FALSE)</f>
        <v>Bodycon</v>
      </c>
      <c r="AC255" s="6">
        <f>VLOOKUP(E251,E$1:$L$601,1,FALSE)</f>
        <v>1.5178571428571428</v>
      </c>
      <c r="AD255" s="6">
        <f>VLOOKUP(F251,F$1:$L$601,1,FALSE)</f>
        <v>4313.38</v>
      </c>
      <c r="AE255" s="6">
        <f>VLOOKUP(G251,G$1:$L$601,1,FALSE)</f>
        <v>0.55000000000000004</v>
      </c>
      <c r="AF255" s="6">
        <f>VLOOKUP(H251,H$1:$L$601,1,FALSE)</f>
        <v>0</v>
      </c>
      <c r="AG255" s="6">
        <f>VLOOKUP(I251,I$1:$L$601,1,FALSE)</f>
        <v>45728</v>
      </c>
      <c r="AH255" s="6" t="str">
        <f>VLOOKUP(J251,J$1:$L$601,1,FALSE)</f>
        <v>DELHI</v>
      </c>
      <c r="AI255" s="6" t="str">
        <f>VLOOKUP(K251,K$1:$L$601,1,FALSE)</f>
        <v>B2C</v>
      </c>
      <c r="AJ255" s="6">
        <f>VLOOKUP(L251,L$1:$L$601,1,FALSE)</f>
        <v>2636.96</v>
      </c>
    </row>
    <row r="256" spans="1:36" x14ac:dyDescent="0.25">
      <c r="A256">
        <v>1264</v>
      </c>
      <c r="B256" t="s">
        <v>306</v>
      </c>
      <c r="C256" t="s">
        <v>36</v>
      </c>
      <c r="D256" t="s">
        <v>81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  <c r="Y256" s="6">
        <f>VLOOKUP(A252,A$1:$L$601,1,FALSE)</f>
        <v>1259</v>
      </c>
      <c r="Z256" s="6" t="str">
        <f>VLOOKUP(B252,B$1:$L$601,1,FALSE)</f>
        <v>Tyler Haney</v>
      </c>
      <c r="AA256" s="6" t="str">
        <f>VLOOKUP(C252,C$1:$L$601,1,FALSE)</f>
        <v>Shoes</v>
      </c>
      <c r="AB256" s="6" t="str">
        <f>VLOOKUP(D252,D$1:$L$601,1,FALSE)</f>
        <v>Boots</v>
      </c>
      <c r="AC256" s="6">
        <f>VLOOKUP(E252,E$1:$L$601,1,FALSE)</f>
        <v>1.5178571428571428</v>
      </c>
      <c r="AD256" s="6">
        <f>VLOOKUP(F252,F$1:$L$601,1,FALSE)</f>
        <v>3396.92</v>
      </c>
      <c r="AE256" s="6">
        <f>VLOOKUP(G252,G$1:$L$601,1,FALSE)</f>
        <v>0.59740740740740739</v>
      </c>
      <c r="AF256" s="6">
        <f>VLOOKUP(H252,H$1:$L$601,1,FALSE)</f>
        <v>0</v>
      </c>
      <c r="AG256" s="6">
        <f>VLOOKUP(I252,I$1:$L$601,1,FALSE)</f>
        <v>45782</v>
      </c>
      <c r="AH256" s="6" t="str">
        <f>VLOOKUP(J252,J$1:$L$601,1,FALSE)</f>
        <v>AHMEDABAD</v>
      </c>
      <c r="AI256" s="6" t="str">
        <f>VLOOKUP(K252,K$1:$L$601,1,FALSE)</f>
        <v>B2C</v>
      </c>
      <c r="AJ256" s="6">
        <f>VLOOKUP(L252,L$1:$L$601,1,FALSE)</f>
        <v>-830.5</v>
      </c>
    </row>
    <row r="257" spans="1:36" x14ac:dyDescent="0.25">
      <c r="A257">
        <v>1265</v>
      </c>
      <c r="B257" t="s">
        <v>307</v>
      </c>
      <c r="C257" t="s">
        <v>36</v>
      </c>
      <c r="D257" t="s">
        <v>81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33</v>
      </c>
      <c r="K257" t="s">
        <v>16</v>
      </c>
      <c r="L257" s="2">
        <v>1718.95</v>
      </c>
      <c r="Y257" s="6">
        <f>VLOOKUP(A253,A$1:$L$601,1,FALSE)</f>
        <v>1260</v>
      </c>
      <c r="Z257" s="6" t="str">
        <f>VLOOKUP(B253,B$1:$L$601,1,FALSE)</f>
        <v>Lindsay Haney</v>
      </c>
      <c r="AA257" s="6" t="str">
        <f>VLOOKUP(C253,C$1:$L$601,1,FALSE)</f>
        <v>Dresses</v>
      </c>
      <c r="AB257" s="6" t="str">
        <f>VLOOKUP(D253,D$1:$L$601,1,FALSE)</f>
        <v>Maxi Dress</v>
      </c>
      <c r="AC257" s="6">
        <f>VLOOKUP(E253,E$1:$L$601,1,FALSE)</f>
        <v>2</v>
      </c>
      <c r="AD257" s="6">
        <f>VLOOKUP(F253,F$1:$L$601,1,FALSE)</f>
        <v>2949.9901960784309</v>
      </c>
      <c r="AE257" s="6">
        <f>VLOOKUP(G253,G$1:$L$601,1,FALSE)</f>
        <v>0.55000000000000004</v>
      </c>
      <c r="AF257" s="6">
        <f>VLOOKUP(H253,H$1:$L$601,1,FALSE)</f>
        <v>0</v>
      </c>
      <c r="AG257" s="6">
        <f>VLOOKUP(I253,I$1:$L$601,1,FALSE)</f>
        <v>45741</v>
      </c>
      <c r="AH257" s="6" t="str">
        <f>VLOOKUP(J253,J$1:$L$601,1,FALSE)</f>
        <v>DELHI</v>
      </c>
      <c r="AI257" s="6" t="str">
        <f>VLOOKUP(K253,K$1:$L$601,1,FALSE)</f>
        <v>B2B</v>
      </c>
      <c r="AJ257" s="6">
        <f>VLOOKUP(L253,L$1:$L$601,1,FALSE)</f>
        <v>-817.8</v>
      </c>
    </row>
    <row r="258" spans="1:36" x14ac:dyDescent="0.25">
      <c r="A258">
        <v>1266</v>
      </c>
      <c r="B258" t="s">
        <v>308</v>
      </c>
      <c r="C258" t="s">
        <v>27</v>
      </c>
      <c r="D258" t="s">
        <v>65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  <c r="Y258" s="6">
        <f>VLOOKUP(A254,A$1:$L$601,1,FALSE)</f>
        <v>1262</v>
      </c>
      <c r="Z258" s="6" t="str">
        <f>VLOOKUP(B254,B$1:$L$601,1,FALSE)</f>
        <v>George Gray</v>
      </c>
      <c r="AA258" s="6" t="str">
        <f>VLOOKUP(C254,C$1:$L$601,1,FALSE)</f>
        <v>Accessories</v>
      </c>
      <c r="AB258" s="6" t="str">
        <f>VLOOKUP(D254,D$1:$L$601,1,FALSE)</f>
        <v>Watches</v>
      </c>
      <c r="AC258" s="6">
        <f>VLOOKUP(E254,E$1:$L$601,1,FALSE)</f>
        <v>2</v>
      </c>
      <c r="AD258" s="6">
        <f>VLOOKUP(F254,F$1:$L$601,1,FALSE)</f>
        <v>2706.1301960784322</v>
      </c>
      <c r="AE258" s="6">
        <f>VLOOKUP(G254,G$1:$L$601,1,FALSE)</f>
        <v>0.52</v>
      </c>
      <c r="AF258" s="6">
        <f>VLOOKUP(H254,H$1:$L$601,1,FALSE)</f>
        <v>0</v>
      </c>
      <c r="AG258" s="6">
        <f>VLOOKUP(I254,I$1:$L$601,1,FALSE)</f>
        <v>45598</v>
      </c>
      <c r="AH258" s="6" t="str">
        <f>VLOOKUP(J254,J$1:$L$601,1,FALSE)</f>
        <v>BANGALORE</v>
      </c>
      <c r="AI258" s="6" t="str">
        <f>VLOOKUP(K254,K$1:$L$601,1,FALSE)</f>
        <v>B2B</v>
      </c>
      <c r="AJ258" s="6">
        <f>VLOOKUP(L254,L$1:$L$601,1,FALSE)</f>
        <v>786.25</v>
      </c>
    </row>
    <row r="259" spans="1:36" x14ac:dyDescent="0.25">
      <c r="A259">
        <v>1267</v>
      </c>
      <c r="B259" t="s">
        <v>309</v>
      </c>
      <c r="C259" t="s">
        <v>21</v>
      </c>
      <c r="D259" t="s">
        <v>79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24</v>
      </c>
      <c r="L259" s="2">
        <v>650.79999999999995</v>
      </c>
      <c r="Y259" s="6">
        <f>VLOOKUP(A255,A$1:$L$601,1,FALSE)</f>
        <v>1263</v>
      </c>
      <c r="Z259" s="6" t="str">
        <f>VLOOKUP(B255,B$1:$L$601,1,FALSE)</f>
        <v>Ryan Graves</v>
      </c>
      <c r="AA259" s="6" t="str">
        <f>VLOOKUP(C255,C$1:$L$601,1,FALSE)</f>
        <v>Shoes</v>
      </c>
      <c r="AB259" s="6" t="str">
        <f>VLOOKUP(D255,D$1:$L$601,1,FALSE)</f>
        <v>Slip-Ons</v>
      </c>
      <c r="AC259" s="6">
        <f>VLOOKUP(E255,E$1:$L$601,1,FALSE)</f>
        <v>1.6216216216216217</v>
      </c>
      <c r="AD259" s="6">
        <f>VLOOKUP(F255,F$1:$L$601,1,FALSE)</f>
        <v>2542.7199999999998</v>
      </c>
      <c r="AE259" s="6">
        <f>VLOOKUP(G255,G$1:$L$601,1,FALSE)</f>
        <v>0.59740740740740739</v>
      </c>
      <c r="AF259" s="6">
        <f>VLOOKUP(H255,H$1:$L$601,1,FALSE)</f>
        <v>0</v>
      </c>
      <c r="AG259" s="6">
        <f>VLOOKUP(I255,I$1:$L$601,1,FALSE)</f>
        <v>45626.838268792708</v>
      </c>
      <c r="AH259" s="6" t="str">
        <f>VLOOKUP(J255,J$1:$L$601,1,FALSE)</f>
        <v>DELHI</v>
      </c>
      <c r="AI259" s="6" t="str">
        <f>VLOOKUP(K255,K$1:$L$601,1,FALSE)</f>
        <v>B2C</v>
      </c>
      <c r="AJ259" s="6">
        <f>VLOOKUP(L255,L$1:$L$601,1,FALSE)</f>
        <v>-136.41</v>
      </c>
    </row>
    <row r="260" spans="1:36" x14ac:dyDescent="0.25">
      <c r="A260">
        <v>1268</v>
      </c>
      <c r="B260" t="s">
        <v>310</v>
      </c>
      <c r="C260" t="s">
        <v>21</v>
      </c>
      <c r="D260" t="s">
        <v>87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48</v>
      </c>
      <c r="K260" t="s">
        <v>16</v>
      </c>
      <c r="L260" s="2">
        <v>2668.22</v>
      </c>
      <c r="Y260" s="6">
        <f>VLOOKUP(A256,A$1:$L$601,1,FALSE)</f>
        <v>1264</v>
      </c>
      <c r="Z260" s="6" t="str">
        <f>VLOOKUP(B256,B$1:$L$601,1,FALSE)</f>
        <v>Ernest Myers</v>
      </c>
      <c r="AA260" s="6" t="str">
        <f>VLOOKUP(C256,C$1:$L$601,1,FALSE)</f>
        <v>T-Shirts</v>
      </c>
      <c r="AB260" s="6" t="str">
        <f>VLOOKUP(D256,D$1:$L$601,1,FALSE)</f>
        <v>Graphic Tee</v>
      </c>
      <c r="AC260" s="6">
        <f>VLOOKUP(E256,E$1:$L$601,1,FALSE)</f>
        <v>1.5178571428571428</v>
      </c>
      <c r="AD260" s="6">
        <f>VLOOKUP(F256,F$1:$L$601,1,FALSE)</f>
        <v>3382.08</v>
      </c>
      <c r="AE260" s="6">
        <f>VLOOKUP(G256,G$1:$L$601,1,FALSE)</f>
        <v>0.65787878787878773</v>
      </c>
      <c r="AF260" s="6">
        <f>VLOOKUP(H256,H$1:$L$601,1,FALSE)</f>
        <v>0</v>
      </c>
      <c r="AG260" s="6">
        <f>VLOOKUP(I256,I$1:$L$601,1,FALSE)</f>
        <v>45592</v>
      </c>
      <c r="AH260" s="6" t="str">
        <f>VLOOKUP(J256,J$1:$L$601,1,FALSE)</f>
        <v>DELHI</v>
      </c>
      <c r="AI260" s="6" t="str">
        <f>VLOOKUP(K256,K$1:$L$601,1,FALSE)</f>
        <v>B2C</v>
      </c>
      <c r="AJ260" s="6">
        <f>VLOOKUP(L256,L$1:$L$601,1,FALSE)</f>
        <v>1647.48</v>
      </c>
    </row>
    <row r="261" spans="1:36" x14ac:dyDescent="0.25">
      <c r="A261">
        <v>1269</v>
      </c>
      <c r="B261" t="s">
        <v>311</v>
      </c>
      <c r="C261" t="s">
        <v>36</v>
      </c>
      <c r="D261" t="s">
        <v>81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23</v>
      </c>
      <c r="K261" t="s">
        <v>16</v>
      </c>
      <c r="L261" s="2">
        <v>483.01</v>
      </c>
      <c r="Y261" s="6">
        <f>VLOOKUP(A257,A$1:$L$601,1,FALSE)</f>
        <v>1265</v>
      </c>
      <c r="Z261" s="6" t="str">
        <f>VLOOKUP(B257,B$1:$L$601,1,FALSE)</f>
        <v>Brandi Lang</v>
      </c>
      <c r="AA261" s="6" t="str">
        <f>VLOOKUP(C257,C$1:$L$601,1,FALSE)</f>
        <v>T-Shirts</v>
      </c>
      <c r="AB261" s="6" t="str">
        <f>VLOOKUP(D257,D$1:$L$601,1,FALSE)</f>
        <v>Graphic Tee</v>
      </c>
      <c r="AC261" s="6">
        <f>VLOOKUP(E257,E$1:$L$601,1,FALSE)</f>
        <v>0</v>
      </c>
      <c r="AD261" s="6">
        <f>VLOOKUP(F257,F$1:$L$601,1,FALSE)</f>
        <v>721.41</v>
      </c>
      <c r="AE261" s="6">
        <f>VLOOKUP(G257,G$1:$L$601,1,FALSE)</f>
        <v>1.1599999999999999E-2</v>
      </c>
      <c r="AF261" s="6">
        <f>VLOOKUP(H257,H$1:$L$601,1,FALSE)</f>
        <v>0</v>
      </c>
      <c r="AG261" s="6">
        <f>VLOOKUP(I257,I$1:$L$601,1,FALSE)</f>
        <v>45740</v>
      </c>
      <c r="AH261" s="6" t="str">
        <f>VLOOKUP(J257,J$1:$L$601,1,FALSE)</f>
        <v>HYDERBAD</v>
      </c>
      <c r="AI261" s="6" t="str">
        <f>VLOOKUP(K257,K$1:$L$601,1,FALSE)</f>
        <v>B2C</v>
      </c>
      <c r="AJ261" s="6">
        <f>VLOOKUP(L257,L$1:$L$601,1,FALSE)</f>
        <v>1718.95</v>
      </c>
    </row>
    <row r="262" spans="1:36" x14ac:dyDescent="0.25">
      <c r="A262">
        <v>1270</v>
      </c>
      <c r="B262" t="s">
        <v>312</v>
      </c>
      <c r="C262" t="s">
        <v>36</v>
      </c>
      <c r="D262" t="s">
        <v>81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33</v>
      </c>
      <c r="K262" t="s">
        <v>24</v>
      </c>
      <c r="L262" s="2">
        <v>-293.05</v>
      </c>
      <c r="Y262" s="6">
        <f>VLOOKUP(A258,A$1:$L$601,1,FALSE)</f>
        <v>1266</v>
      </c>
      <c r="Z262" s="6" t="str">
        <f>VLOOKUP(B258,B$1:$L$601,1,FALSE)</f>
        <v>Gloria Barnett</v>
      </c>
      <c r="AA262" s="6" t="str">
        <f>VLOOKUP(C258,C$1:$L$601,1,FALSE)</f>
        <v>Shoes</v>
      </c>
      <c r="AB262" s="6" t="str">
        <f>VLOOKUP(D258,D$1:$L$601,1,FALSE)</f>
        <v>Slip-Ons</v>
      </c>
      <c r="AC262" s="6">
        <f>VLOOKUP(E258,E$1:$L$601,1,FALSE)</f>
        <v>1.6216216216216217</v>
      </c>
      <c r="AD262" s="6">
        <f>VLOOKUP(F258,F$1:$L$601,1,FALSE)</f>
        <v>2557.4251351351354</v>
      </c>
      <c r="AE262" s="6">
        <f>VLOOKUP(G258,G$1:$L$601,1,FALSE)</f>
        <v>1.1200000000000002E-2</v>
      </c>
      <c r="AF262" s="6">
        <f>VLOOKUP(H258,H$1:$L$601,1,FALSE)</f>
        <v>0</v>
      </c>
      <c r="AG262" s="6">
        <f>VLOOKUP(I258,I$1:$L$601,1,FALSE)</f>
        <v>45224</v>
      </c>
      <c r="AH262" s="6" t="str">
        <f>VLOOKUP(J258,J$1:$L$601,1,FALSE)</f>
        <v>DELHI</v>
      </c>
      <c r="AI262" s="6" t="str">
        <f>VLOOKUP(K258,K$1:$L$601,1,FALSE)</f>
        <v>B2C</v>
      </c>
      <c r="AJ262" s="6">
        <f>VLOOKUP(L258,L$1:$L$601,1,FALSE)</f>
        <v>1024.8599999999999</v>
      </c>
    </row>
    <row r="263" spans="1:36" x14ac:dyDescent="0.25">
      <c r="A263">
        <v>1271</v>
      </c>
      <c r="B263" t="s">
        <v>313</v>
      </c>
      <c r="C263" t="s">
        <v>36</v>
      </c>
      <c r="D263" t="s">
        <v>46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29</v>
      </c>
      <c r="K263" t="s">
        <v>24</v>
      </c>
      <c r="L263" s="2">
        <v>1295.93</v>
      </c>
      <c r="Y263" s="6">
        <f>VLOOKUP(A259,A$1:$L$601,1,FALSE)</f>
        <v>1267</v>
      </c>
      <c r="Z263" s="6" t="str">
        <f>VLOOKUP(B259,B$1:$L$601,1,FALSE)</f>
        <v>Sarah Andrews</v>
      </c>
      <c r="AA263" s="6" t="str">
        <f>VLOOKUP(C259,C$1:$L$601,1,FALSE)</f>
        <v>Jackets</v>
      </c>
      <c r="AB263" s="6" t="str">
        <f>VLOOKUP(D259,D$1:$L$601,1,FALSE)</f>
        <v>Bomber Jacket</v>
      </c>
      <c r="AC263" s="6">
        <f>VLOOKUP(E259,E$1:$L$601,1,FALSE)</f>
        <v>3</v>
      </c>
      <c r="AD263" s="6">
        <f>VLOOKUP(F259,F$1:$L$601,1,FALSE)</f>
        <v>3255.23</v>
      </c>
      <c r="AE263" s="6">
        <f>VLOOKUP(G259,G$1:$L$601,1,FALSE)</f>
        <v>0.69969696969696993</v>
      </c>
      <c r="AF263" s="6">
        <f>VLOOKUP(H259,H$1:$L$601,1,FALSE)</f>
        <v>0</v>
      </c>
      <c r="AG263" s="6">
        <f>VLOOKUP(I259,I$1:$L$601,1,FALSE)</f>
        <v>45246</v>
      </c>
      <c r="AH263" s="6" t="str">
        <f>VLOOKUP(J259,J$1:$L$601,1,FALSE)</f>
        <v>DELHI</v>
      </c>
      <c r="AI263" s="6" t="str">
        <f>VLOOKUP(K259,K$1:$L$601,1,FALSE)</f>
        <v>B2B</v>
      </c>
      <c r="AJ263" s="6">
        <f>VLOOKUP(L259,L$1:$L$601,1,FALSE)</f>
        <v>650.79999999999995</v>
      </c>
    </row>
    <row r="264" spans="1:36" x14ac:dyDescent="0.25">
      <c r="A264">
        <v>1272</v>
      </c>
      <c r="B264" t="s">
        <v>314</v>
      </c>
      <c r="C264" t="s">
        <v>31</v>
      </c>
      <c r="D264" t="s">
        <v>32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33</v>
      </c>
      <c r="K264" t="s">
        <v>24</v>
      </c>
      <c r="L264" s="2">
        <v>484.51</v>
      </c>
      <c r="Y264" s="6">
        <f>VLOOKUP(A260,A$1:$L$601,1,FALSE)</f>
        <v>1268</v>
      </c>
      <c r="Z264" s="6" t="str">
        <f>VLOOKUP(B260,B$1:$L$601,1,FALSE)</f>
        <v>Sonya Martinez</v>
      </c>
      <c r="AA264" s="6" t="str">
        <f>VLOOKUP(C260,C$1:$L$601,1,FALSE)</f>
        <v>Jackets</v>
      </c>
      <c r="AB264" s="6" t="str">
        <f>VLOOKUP(D260,D$1:$L$601,1,FALSE)</f>
        <v>Denim Jacket</v>
      </c>
      <c r="AC264" s="6">
        <f>VLOOKUP(E260,E$1:$L$601,1,FALSE)</f>
        <v>1</v>
      </c>
      <c r="AD264" s="6">
        <f>VLOOKUP(F260,F$1:$L$601,1,FALSE)</f>
        <v>2811.5702272727276</v>
      </c>
      <c r="AE264" s="6">
        <f>VLOOKUP(G260,G$1:$L$601,1,FALSE)</f>
        <v>1.03E-2</v>
      </c>
      <c r="AF264" s="6">
        <f>VLOOKUP(H260,H$1:$L$601,1,FALSE)</f>
        <v>0</v>
      </c>
      <c r="AG264" s="6">
        <f>VLOOKUP(I260,I$1:$L$601,1,FALSE)</f>
        <v>45626.838268792708</v>
      </c>
      <c r="AH264" s="6" t="str">
        <f>VLOOKUP(J260,J$1:$L$601,1,FALSE)</f>
        <v>PUNE</v>
      </c>
      <c r="AI264" s="6" t="str">
        <f>VLOOKUP(K260,K$1:$L$601,1,FALSE)</f>
        <v>B2C</v>
      </c>
      <c r="AJ264" s="6">
        <f>VLOOKUP(L260,L$1:$L$601,1,FALSE)</f>
        <v>2668.22</v>
      </c>
    </row>
    <row r="265" spans="1:36" x14ac:dyDescent="0.25">
      <c r="A265">
        <v>1273</v>
      </c>
      <c r="B265" t="s">
        <v>315</v>
      </c>
      <c r="C265" t="s">
        <v>36</v>
      </c>
      <c r="D265" t="s">
        <v>46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33</v>
      </c>
      <c r="K265" t="s">
        <v>16</v>
      </c>
      <c r="L265" s="2">
        <v>-431.92</v>
      </c>
      <c r="Y265" s="6">
        <f>VLOOKUP(A261,A$1:$L$601,1,FALSE)</f>
        <v>1269</v>
      </c>
      <c r="Z265" s="6" t="str">
        <f>VLOOKUP(B261,B$1:$L$601,1,FALSE)</f>
        <v>Brittany Harris</v>
      </c>
      <c r="AA265" s="6" t="str">
        <f>VLOOKUP(C261,C$1:$L$601,1,FALSE)</f>
        <v>T-Shirts</v>
      </c>
      <c r="AB265" s="6" t="str">
        <f>VLOOKUP(D261,D$1:$L$601,1,FALSE)</f>
        <v>Graphic Tee</v>
      </c>
      <c r="AC265" s="6">
        <f>VLOOKUP(E261,E$1:$L$601,1,FALSE)</f>
        <v>1.5178571428571428</v>
      </c>
      <c r="AD265" s="6">
        <f>VLOOKUP(F261,F$1:$L$601,1,FALSE)</f>
        <v>2742.2927659574466</v>
      </c>
      <c r="AE265" s="6">
        <f>VLOOKUP(G261,G$1:$L$601,1,FALSE)</f>
        <v>0.65787878787878773</v>
      </c>
      <c r="AF265" s="6">
        <f>VLOOKUP(H261,H$1:$L$601,1,FALSE)</f>
        <v>0</v>
      </c>
      <c r="AG265" s="6">
        <f>VLOOKUP(I261,I$1:$L$601,1,FALSE)</f>
        <v>45626.838268792708</v>
      </c>
      <c r="AH265" s="6" t="str">
        <f>VLOOKUP(J261,J$1:$L$601,1,FALSE)</f>
        <v>MUMBAI</v>
      </c>
      <c r="AI265" s="6" t="str">
        <f>VLOOKUP(K261,K$1:$L$601,1,FALSE)</f>
        <v>B2C</v>
      </c>
      <c r="AJ265" s="6">
        <f>VLOOKUP(L261,L$1:$L$601,1,FALSE)</f>
        <v>483.01</v>
      </c>
    </row>
    <row r="266" spans="1:36" x14ac:dyDescent="0.25">
      <c r="A266">
        <v>1274</v>
      </c>
      <c r="B266" t="s">
        <v>316</v>
      </c>
      <c r="C266" t="s">
        <v>41</v>
      </c>
      <c r="D266" t="s">
        <v>63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19</v>
      </c>
      <c r="K266" t="s">
        <v>24</v>
      </c>
      <c r="L266" s="2">
        <v>62.98</v>
      </c>
      <c r="Y266" s="6">
        <f>VLOOKUP(A262,A$1:$L$601,1,FALSE)</f>
        <v>1270</v>
      </c>
      <c r="Z266" s="6" t="str">
        <f>VLOOKUP(B262,B$1:$L$601,1,FALSE)</f>
        <v>Vanessa Kelley</v>
      </c>
      <c r="AA266" s="6" t="str">
        <f>VLOOKUP(C262,C$1:$L$601,1,FALSE)</f>
        <v>T-Shirts</v>
      </c>
      <c r="AB266" s="6" t="str">
        <f>VLOOKUP(D262,D$1:$L$601,1,FALSE)</f>
        <v>Graphic Tee</v>
      </c>
      <c r="AC266" s="6">
        <f>VLOOKUP(E262,E$1:$L$601,1,FALSE)</f>
        <v>0</v>
      </c>
      <c r="AD266" s="6">
        <f>VLOOKUP(F262,F$1:$L$601,1,FALSE)</f>
        <v>4446.82</v>
      </c>
      <c r="AE266" s="6">
        <f>VLOOKUP(G262,G$1:$L$601,1,FALSE)</f>
        <v>0.65787878787878773</v>
      </c>
      <c r="AF266" s="6">
        <f>VLOOKUP(H262,H$1:$L$601,1,FALSE)</f>
        <v>0</v>
      </c>
      <c r="AG266" s="6">
        <f>VLOOKUP(I262,I$1:$L$601,1,FALSE)</f>
        <v>45837</v>
      </c>
      <c r="AH266" s="6" t="str">
        <f>VLOOKUP(J262,J$1:$L$601,1,FALSE)</f>
        <v>HYDERBAD</v>
      </c>
      <c r="AI266" s="6" t="str">
        <f>VLOOKUP(K262,K$1:$L$601,1,FALSE)</f>
        <v>B2B</v>
      </c>
      <c r="AJ266" s="6">
        <f>VLOOKUP(L262,L$1:$L$601,1,FALSE)</f>
        <v>-293.05</v>
      </c>
    </row>
    <row r="267" spans="1:36" x14ac:dyDescent="0.25">
      <c r="A267">
        <v>1275</v>
      </c>
      <c r="B267" t="s">
        <v>317</v>
      </c>
      <c r="C267" t="s">
        <v>41</v>
      </c>
      <c r="D267" t="s">
        <v>42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29</v>
      </c>
      <c r="K267" t="s">
        <v>24</v>
      </c>
      <c r="L267" s="2">
        <v>2732.47</v>
      </c>
      <c r="Y267" s="6">
        <f>VLOOKUP(A263,A$1:$L$601,1,FALSE)</f>
        <v>1271</v>
      </c>
      <c r="Z267" s="6" t="str">
        <f>VLOOKUP(B263,B$1:$L$601,1,FALSE)</f>
        <v>Robert Gonzalez</v>
      </c>
      <c r="AA267" s="6" t="str">
        <f>VLOOKUP(C263,C$1:$L$601,1,FALSE)</f>
        <v>T-Shirts</v>
      </c>
      <c r="AB267" s="6" t="str">
        <f>VLOOKUP(D263,D$1:$L$601,1,FALSE)</f>
        <v>Oversized T-Shirt</v>
      </c>
      <c r="AC267" s="6">
        <f>VLOOKUP(E263,E$1:$L$601,1,FALSE)</f>
        <v>1.5178571428571428</v>
      </c>
      <c r="AD267" s="6">
        <f>VLOOKUP(F263,F$1:$L$601,1,FALSE)</f>
        <v>2742.2927659574466</v>
      </c>
      <c r="AE267" s="6">
        <f>VLOOKUP(G263,G$1:$L$601,1,FALSE)</f>
        <v>0.65787878787878773</v>
      </c>
      <c r="AF267" s="6">
        <f>VLOOKUP(H263,H$1:$L$601,1,FALSE)</f>
        <v>0</v>
      </c>
      <c r="AG267" s="6">
        <f>VLOOKUP(I263,I$1:$L$601,1,FALSE)</f>
        <v>45425</v>
      </c>
      <c r="AH267" s="6" t="str">
        <f>VLOOKUP(J263,J$1:$L$601,1,FALSE)</f>
        <v>BANGALORE</v>
      </c>
      <c r="AI267" s="6" t="str">
        <f>VLOOKUP(K263,K$1:$L$601,1,FALSE)</f>
        <v>B2B</v>
      </c>
      <c r="AJ267" s="6">
        <f>VLOOKUP(L263,L$1:$L$601,1,FALSE)</f>
        <v>1295.93</v>
      </c>
    </row>
    <row r="268" spans="1:36" x14ac:dyDescent="0.25">
      <c r="A268">
        <v>1276</v>
      </c>
      <c r="B268" t="s">
        <v>318</v>
      </c>
      <c r="C268" t="s">
        <v>27</v>
      </c>
      <c r="D268" t="s">
        <v>85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23</v>
      </c>
      <c r="K268" t="s">
        <v>16</v>
      </c>
      <c r="L268" s="2">
        <v>-869.12</v>
      </c>
      <c r="Y268" s="6">
        <f>VLOOKUP(A264,A$1:$L$601,1,FALSE)</f>
        <v>1272</v>
      </c>
      <c r="Z268" s="6" t="str">
        <f>VLOOKUP(B264,B$1:$L$601,1,FALSE)</f>
        <v>Angela Taylor</v>
      </c>
      <c r="AA268" s="6" t="str">
        <f>VLOOKUP(C264,C$1:$L$601,1,FALSE)</f>
        <v>Accessories</v>
      </c>
      <c r="AB268" s="6" t="str">
        <f>VLOOKUP(D264,D$1:$L$601,1,FALSE)</f>
        <v>Belts</v>
      </c>
      <c r="AC268" s="6">
        <f>VLOOKUP(E264,E$1:$L$601,1,FALSE)</f>
        <v>2.4893617021276597</v>
      </c>
      <c r="AD268" s="6">
        <f>VLOOKUP(F264,F$1:$L$601,1,FALSE)</f>
        <v>1429.94</v>
      </c>
      <c r="AE268" s="6">
        <f>VLOOKUP(G264,G$1:$L$601,1,FALSE)</f>
        <v>0.70297297297297334</v>
      </c>
      <c r="AF268" s="6">
        <f>VLOOKUP(H264,H$1:$L$601,1,FALSE)</f>
        <v>0</v>
      </c>
      <c r="AG268" s="6">
        <f>VLOOKUP(I264,I$1:$L$601,1,FALSE)</f>
        <v>45272</v>
      </c>
      <c r="AH268" s="6" t="str">
        <f>VLOOKUP(J264,J$1:$L$601,1,FALSE)</f>
        <v>HYDERBAD</v>
      </c>
      <c r="AI268" s="6" t="str">
        <f>VLOOKUP(K264,K$1:$L$601,1,FALSE)</f>
        <v>B2B</v>
      </c>
      <c r="AJ268" s="6">
        <f>VLOOKUP(L264,L$1:$L$601,1,FALSE)</f>
        <v>484.51</v>
      </c>
    </row>
    <row r="269" spans="1:36" x14ac:dyDescent="0.25">
      <c r="A269">
        <v>1277</v>
      </c>
      <c r="B269" t="s">
        <v>319</v>
      </c>
      <c r="C269" t="s">
        <v>31</v>
      </c>
      <c r="D269" t="s">
        <v>44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  <c r="Y269" s="6">
        <f>VLOOKUP(A265,A$1:$L$601,1,FALSE)</f>
        <v>1273</v>
      </c>
      <c r="Z269" s="6" t="str">
        <f>VLOOKUP(B265,B$1:$L$601,1,FALSE)</f>
        <v>Bradley Myers</v>
      </c>
      <c r="AA269" s="6" t="str">
        <f>VLOOKUP(C265,C$1:$L$601,1,FALSE)</f>
        <v>T-Shirts</v>
      </c>
      <c r="AB269" s="6" t="str">
        <f>VLOOKUP(D265,D$1:$L$601,1,FALSE)</f>
        <v>Oversized T-Shirt</v>
      </c>
      <c r="AC269" s="6">
        <f>VLOOKUP(E265,E$1:$L$601,1,FALSE)</f>
        <v>1.5178571428571428</v>
      </c>
      <c r="AD269" s="6">
        <f>VLOOKUP(F265,F$1:$L$601,1,FALSE)</f>
        <v>2742.2927659574466</v>
      </c>
      <c r="AE269" s="6">
        <f>VLOOKUP(G265,G$1:$L$601,1,FALSE)</f>
        <v>0.65787878787878773</v>
      </c>
      <c r="AF269" s="6">
        <f>VLOOKUP(H265,H$1:$L$601,1,FALSE)</f>
        <v>0</v>
      </c>
      <c r="AG269" s="6">
        <f>VLOOKUP(I265,I$1:$L$601,1,FALSE)</f>
        <v>45689</v>
      </c>
      <c r="AH269" s="6" t="str">
        <f>VLOOKUP(J265,J$1:$L$601,1,FALSE)</f>
        <v>HYDERBAD</v>
      </c>
      <c r="AI269" s="6" t="str">
        <f>VLOOKUP(K265,K$1:$L$601,1,FALSE)</f>
        <v>B2C</v>
      </c>
      <c r="AJ269" s="6">
        <f>VLOOKUP(L265,L$1:$L$601,1,FALSE)</f>
        <v>-431.92</v>
      </c>
    </row>
    <row r="270" spans="1:36" x14ac:dyDescent="0.25">
      <c r="A270">
        <v>1278</v>
      </c>
      <c r="B270" t="s">
        <v>320</v>
      </c>
      <c r="C270" t="s">
        <v>31</v>
      </c>
      <c r="D270" t="s">
        <v>44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  <c r="Y270" s="6">
        <f>VLOOKUP(A266,A$1:$L$601,1,FALSE)</f>
        <v>1274</v>
      </c>
      <c r="Z270" s="6" t="str">
        <f>VLOOKUP(B266,B$1:$L$601,1,FALSE)</f>
        <v>Russell Love</v>
      </c>
      <c r="AA270" s="6" t="str">
        <f>VLOOKUP(C266,C$1:$L$601,1,FALSE)</f>
        <v>Dresses</v>
      </c>
      <c r="AB270" s="6" t="str">
        <f>VLOOKUP(D266,D$1:$L$601,1,FALSE)</f>
        <v>Wrap Dress</v>
      </c>
      <c r="AC270" s="6">
        <f>VLOOKUP(E266,E$1:$L$601,1,FALSE)</f>
        <v>2.1864406779661016</v>
      </c>
      <c r="AD270" s="6">
        <f>VLOOKUP(F266,F$1:$L$601,1,FALSE)</f>
        <v>2949.9901960784309</v>
      </c>
      <c r="AE270" s="6">
        <f>VLOOKUP(G266,G$1:$L$601,1,FALSE)</f>
        <v>0.59</v>
      </c>
      <c r="AF270" s="6">
        <f>VLOOKUP(H266,H$1:$L$601,1,FALSE)</f>
        <v>0</v>
      </c>
      <c r="AG270" s="6">
        <f>VLOOKUP(I266,I$1:$L$601,1,FALSE)</f>
        <v>45626.838268792708</v>
      </c>
      <c r="AH270" s="6" t="str">
        <f>VLOOKUP(J266,J$1:$L$601,1,FALSE)</f>
        <v>AHMEDABAD</v>
      </c>
      <c r="AI270" s="6" t="str">
        <f>VLOOKUP(K266,K$1:$L$601,1,FALSE)</f>
        <v>B2B</v>
      </c>
      <c r="AJ270" s="6">
        <f>VLOOKUP(L266,L$1:$L$601,1,FALSE)</f>
        <v>62.98</v>
      </c>
    </row>
    <row r="271" spans="1:36" x14ac:dyDescent="0.25">
      <c r="A271">
        <v>1279</v>
      </c>
      <c r="B271" t="s">
        <v>321</v>
      </c>
      <c r="C271" t="s">
        <v>27</v>
      </c>
      <c r="D271" t="s">
        <v>85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19</v>
      </c>
      <c r="K271" t="s">
        <v>16</v>
      </c>
      <c r="L271" s="2">
        <v>1430.67</v>
      </c>
      <c r="Y271" s="6">
        <f>VLOOKUP(A267,A$1:$L$601,1,FALSE)</f>
        <v>1275</v>
      </c>
      <c r="Z271" s="6" t="str">
        <f>VLOOKUP(B267,B$1:$L$601,1,FALSE)</f>
        <v>Kelly Wong</v>
      </c>
      <c r="AA271" s="6" t="str">
        <f>VLOOKUP(C267,C$1:$L$601,1,FALSE)</f>
        <v>Dresses</v>
      </c>
      <c r="AB271" s="6" t="str">
        <f>VLOOKUP(D267,D$1:$L$601,1,FALSE)</f>
        <v>Casual Midi</v>
      </c>
      <c r="AC271" s="6">
        <f>VLOOKUP(E267,E$1:$L$601,1,FALSE)</f>
        <v>3</v>
      </c>
      <c r="AD271" s="6">
        <f>VLOOKUP(F267,F$1:$L$601,1,FALSE)</f>
        <v>4132</v>
      </c>
      <c r="AE271" s="6">
        <f>VLOOKUP(G267,G$1:$L$601,1,FALSE)</f>
        <v>0.55000000000000004</v>
      </c>
      <c r="AF271" s="6">
        <f>VLOOKUP(H267,H$1:$L$601,1,FALSE)</f>
        <v>0</v>
      </c>
      <c r="AG271" s="6">
        <f>VLOOKUP(I267,I$1:$L$601,1,FALSE)</f>
        <v>45348</v>
      </c>
      <c r="AH271" s="6" t="str">
        <f>VLOOKUP(J267,J$1:$L$601,1,FALSE)</f>
        <v>BANGALORE</v>
      </c>
      <c r="AI271" s="6" t="str">
        <f>VLOOKUP(K267,K$1:$L$601,1,FALSE)</f>
        <v>B2B</v>
      </c>
      <c r="AJ271" s="6">
        <f>VLOOKUP(L267,L$1:$L$601,1,FALSE)</f>
        <v>2732.47</v>
      </c>
    </row>
    <row r="272" spans="1:36" x14ac:dyDescent="0.25">
      <c r="A272">
        <v>1280</v>
      </c>
      <c r="B272" t="s">
        <v>322</v>
      </c>
      <c r="C272" t="s">
        <v>36</v>
      </c>
      <c r="D272" t="s">
        <v>37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19</v>
      </c>
      <c r="K272" t="s">
        <v>24</v>
      </c>
      <c r="L272" s="2">
        <v>263.41000000000003</v>
      </c>
      <c r="Y272" s="6">
        <f>VLOOKUP(A268,A$1:$L$601,1,FALSE)</f>
        <v>1276</v>
      </c>
      <c r="Z272" s="6" t="str">
        <f>VLOOKUP(B268,B$1:$L$601,1,FALSE)</f>
        <v>Erin Wright</v>
      </c>
      <c r="AA272" s="6" t="str">
        <f>VLOOKUP(C268,C$1:$L$601,1,FALSE)</f>
        <v>Shoes</v>
      </c>
      <c r="AB272" s="6" t="str">
        <f>VLOOKUP(D268,D$1:$L$601,1,FALSE)</f>
        <v>Boots</v>
      </c>
      <c r="AC272" s="6">
        <f>VLOOKUP(E268,E$1:$L$601,1,FALSE)</f>
        <v>1.6216216216216217</v>
      </c>
      <c r="AD272" s="6">
        <f>VLOOKUP(F268,F$1:$L$601,1,FALSE)</f>
        <v>3243.45</v>
      </c>
      <c r="AE272" s="6">
        <f>VLOOKUP(G268,G$1:$L$601,1,FALSE)</f>
        <v>0.61</v>
      </c>
      <c r="AF272" s="6">
        <f>VLOOKUP(H268,H$1:$L$601,1,FALSE)</f>
        <v>0</v>
      </c>
      <c r="AG272" s="6">
        <f>VLOOKUP(I268,I$1:$L$601,1,FALSE)</f>
        <v>45626.838268792708</v>
      </c>
      <c r="AH272" s="6" t="str">
        <f>VLOOKUP(J268,J$1:$L$601,1,FALSE)</f>
        <v>MUMBAI</v>
      </c>
      <c r="AI272" s="6" t="str">
        <f>VLOOKUP(K268,K$1:$L$601,1,FALSE)</f>
        <v>B2C</v>
      </c>
      <c r="AJ272" s="6">
        <f>VLOOKUP(L268,L$1:$L$601,1,FALSE)</f>
        <v>-869.12</v>
      </c>
    </row>
    <row r="273" spans="1:36" x14ac:dyDescent="0.25">
      <c r="A273">
        <v>1282</v>
      </c>
      <c r="B273" t="s">
        <v>323</v>
      </c>
      <c r="C273" t="s">
        <v>27</v>
      </c>
      <c r="D273" t="s">
        <v>28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23</v>
      </c>
      <c r="K273" t="s">
        <v>24</v>
      </c>
      <c r="L273" s="2">
        <v>-909.75</v>
      </c>
      <c r="Y273" s="6">
        <f>VLOOKUP(A269,A$1:$L$601,1,FALSE)</f>
        <v>1277</v>
      </c>
      <c r="Z273" s="6" t="str">
        <f>VLOOKUP(B269,B$1:$L$601,1,FALSE)</f>
        <v>Michael Coleman</v>
      </c>
      <c r="AA273" s="6" t="str">
        <f>VLOOKUP(C269,C$1:$L$601,1,FALSE)</f>
        <v>Accessories</v>
      </c>
      <c r="AB273" s="6" t="str">
        <f>VLOOKUP(D269,D$1:$L$601,1,FALSE)</f>
        <v>Sunglasses</v>
      </c>
      <c r="AC273" s="6">
        <f>VLOOKUP(E269,E$1:$L$601,1,FALSE)</f>
        <v>2</v>
      </c>
      <c r="AD273" s="6">
        <f>VLOOKUP(F269,F$1:$L$601,1,FALSE)</f>
        <v>4720.5200000000004</v>
      </c>
      <c r="AE273" s="6">
        <f>VLOOKUP(G269,G$1:$L$601,1,FALSE)</f>
        <v>0.56999999999999995</v>
      </c>
      <c r="AF273" s="6">
        <f>VLOOKUP(H269,H$1:$L$601,1,FALSE)</f>
        <v>4059.65</v>
      </c>
      <c r="AG273" s="6">
        <f>VLOOKUP(I269,I$1:$L$601,1,FALSE)</f>
        <v>45421</v>
      </c>
      <c r="AH273" s="6" t="str">
        <f>VLOOKUP(J269,J$1:$L$601,1,FALSE)</f>
        <v>DELHI</v>
      </c>
      <c r="AI273" s="6" t="str">
        <f>VLOOKUP(K269,K$1:$L$601,1,FALSE)</f>
        <v>B2C</v>
      </c>
      <c r="AJ273" s="6">
        <f>VLOOKUP(L269,L$1:$L$601,1,FALSE)</f>
        <v>1255.6600000000001</v>
      </c>
    </row>
    <row r="274" spans="1:36" x14ac:dyDescent="0.25">
      <c r="A274">
        <v>1283</v>
      </c>
      <c r="B274" t="s">
        <v>324</v>
      </c>
      <c r="C274" t="s">
        <v>27</v>
      </c>
      <c r="D274" t="s">
        <v>65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33</v>
      </c>
      <c r="K274" t="s">
        <v>24</v>
      </c>
      <c r="L274" s="2">
        <v>379.24</v>
      </c>
      <c r="Y274" s="6">
        <f>VLOOKUP(A270,A$1:$L$601,1,FALSE)</f>
        <v>1278</v>
      </c>
      <c r="Z274" s="6" t="str">
        <f>VLOOKUP(B270,B$1:$L$601,1,FALSE)</f>
        <v>Jessica Kirby</v>
      </c>
      <c r="AA274" s="6" t="str">
        <f>VLOOKUP(C270,C$1:$L$601,1,FALSE)</f>
        <v>Accessories</v>
      </c>
      <c r="AB274" s="6" t="str">
        <f>VLOOKUP(D270,D$1:$L$601,1,FALSE)</f>
        <v>Sunglasses</v>
      </c>
      <c r="AC274" s="6">
        <f>VLOOKUP(E270,E$1:$L$601,1,FALSE)</f>
        <v>2.4893617021276597</v>
      </c>
      <c r="AD274" s="6">
        <f>VLOOKUP(F270,F$1:$L$601,1,FALSE)</f>
        <v>3550.91</v>
      </c>
      <c r="AE274" s="6">
        <f>VLOOKUP(G270,G$1:$L$601,1,FALSE)</f>
        <v>0.70297297297297334</v>
      </c>
      <c r="AF274" s="6">
        <f>VLOOKUP(H270,H$1:$L$601,1,FALSE)</f>
        <v>0</v>
      </c>
      <c r="AG274" s="6">
        <f>VLOOKUP(I270,I$1:$L$601,1,FALSE)</f>
        <v>45558</v>
      </c>
      <c r="AH274" s="6" t="str">
        <f>VLOOKUP(J270,J$1:$L$601,1,FALSE)</f>
        <v>DELHI</v>
      </c>
      <c r="AI274" s="6" t="str">
        <f>VLOOKUP(K270,K$1:$L$601,1,FALSE)</f>
        <v>B2C</v>
      </c>
      <c r="AJ274" s="6">
        <f>VLOOKUP(L270,L$1:$L$601,1,FALSE)</f>
        <v>466.53</v>
      </c>
    </row>
    <row r="275" spans="1:36" x14ac:dyDescent="0.25">
      <c r="A275">
        <v>1284</v>
      </c>
      <c r="B275" t="s">
        <v>325</v>
      </c>
      <c r="C275" t="s">
        <v>21</v>
      </c>
      <c r="D275" t="s">
        <v>22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33</v>
      </c>
      <c r="K275" t="s">
        <v>16</v>
      </c>
      <c r="L275" s="2">
        <v>-348.48</v>
      </c>
      <c r="Y275" s="6">
        <f>VLOOKUP(A271,A$1:$L$601,1,FALSE)</f>
        <v>1279</v>
      </c>
      <c r="Z275" s="6" t="str">
        <f>VLOOKUP(B271,B$1:$L$601,1,FALSE)</f>
        <v>Laura Romero</v>
      </c>
      <c r="AA275" s="6" t="str">
        <f>VLOOKUP(C271,C$1:$L$601,1,FALSE)</f>
        <v>Shoes</v>
      </c>
      <c r="AB275" s="6" t="str">
        <f>VLOOKUP(D271,D$1:$L$601,1,FALSE)</f>
        <v>Boots</v>
      </c>
      <c r="AC275" s="6">
        <f>VLOOKUP(E271,E$1:$L$601,1,FALSE)</f>
        <v>1.6216216216216217</v>
      </c>
      <c r="AD275" s="6">
        <f>VLOOKUP(F271,F$1:$L$601,1,FALSE)</f>
        <v>2600.33</v>
      </c>
      <c r="AE275" s="6">
        <f>VLOOKUP(G271,G$1:$L$601,1,FALSE)</f>
        <v>0.59740740740740739</v>
      </c>
      <c r="AF275" s="6">
        <f>VLOOKUP(H271,H$1:$L$601,1,FALSE)</f>
        <v>0</v>
      </c>
      <c r="AG275" s="6">
        <f>VLOOKUP(I271,I$1:$L$601,1,FALSE)</f>
        <v>45525</v>
      </c>
      <c r="AH275" s="6" t="str">
        <f>VLOOKUP(J271,J$1:$L$601,1,FALSE)</f>
        <v>AHMEDABAD</v>
      </c>
      <c r="AI275" s="6" t="str">
        <f>VLOOKUP(K271,K$1:$L$601,1,FALSE)</f>
        <v>B2C</v>
      </c>
      <c r="AJ275" s="6">
        <f>VLOOKUP(L271,L$1:$L$601,1,FALSE)</f>
        <v>1430.67</v>
      </c>
    </row>
    <row r="276" spans="1:36" x14ac:dyDescent="0.25">
      <c r="A276">
        <v>1285</v>
      </c>
      <c r="B276" t="s">
        <v>326</v>
      </c>
      <c r="C276" t="s">
        <v>31</v>
      </c>
      <c r="D276" t="s">
        <v>32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  <c r="Y276" s="6">
        <f>VLOOKUP(A272,A$1:$L$601,1,FALSE)</f>
        <v>1280</v>
      </c>
      <c r="Z276" s="6" t="str">
        <f>VLOOKUP(B272,B$1:$L$601,1,FALSE)</f>
        <v>Joseph Joseph</v>
      </c>
      <c r="AA276" s="6" t="str">
        <f>VLOOKUP(C272,C$1:$L$601,1,FALSE)</f>
        <v>T-Shirts</v>
      </c>
      <c r="AB276" s="6" t="str">
        <f>VLOOKUP(D272,D$1:$L$601,1,FALSE)</f>
        <v>Crop Top</v>
      </c>
      <c r="AC276" s="6">
        <f>VLOOKUP(E272,E$1:$L$601,1,FALSE)</f>
        <v>3</v>
      </c>
      <c r="AD276" s="6">
        <f>VLOOKUP(F272,F$1:$L$601,1,FALSE)</f>
        <v>2742.2927659574466</v>
      </c>
      <c r="AE276" s="6">
        <f>VLOOKUP(G272,G$1:$L$601,1,FALSE)</f>
        <v>0.65787878787878773</v>
      </c>
      <c r="AF276" s="6">
        <f>VLOOKUP(H272,H$1:$L$601,1,FALSE)</f>
        <v>0</v>
      </c>
      <c r="AG276" s="6">
        <f>VLOOKUP(I272,I$1:$L$601,1,FALSE)</f>
        <v>45578</v>
      </c>
      <c r="AH276" s="6" t="str">
        <f>VLOOKUP(J272,J$1:$L$601,1,FALSE)</f>
        <v>AHMEDABAD</v>
      </c>
      <c r="AI276" s="6" t="str">
        <f>VLOOKUP(K272,K$1:$L$601,1,FALSE)</f>
        <v>B2B</v>
      </c>
      <c r="AJ276" s="6">
        <f>VLOOKUP(L272,L$1:$L$601,1,FALSE)</f>
        <v>263.41000000000003</v>
      </c>
    </row>
    <row r="277" spans="1:36" x14ac:dyDescent="0.25">
      <c r="A277">
        <v>1286</v>
      </c>
      <c r="B277" t="s">
        <v>327</v>
      </c>
      <c r="C277" t="s">
        <v>36</v>
      </c>
      <c r="D277" t="s">
        <v>81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23</v>
      </c>
      <c r="K277" t="s">
        <v>16</v>
      </c>
      <c r="L277" s="2">
        <v>2562.54</v>
      </c>
      <c r="Y277" s="6">
        <f>VLOOKUP(A273,A$1:$L$601,1,FALSE)</f>
        <v>1282</v>
      </c>
      <c r="Z277" s="6" t="str">
        <f>VLOOKUP(B273,B$1:$L$601,1,FALSE)</f>
        <v>Kevin Hunter</v>
      </c>
      <c r="AA277" s="6" t="str">
        <f>VLOOKUP(C273,C$1:$L$601,1,FALSE)</f>
        <v>Shoes</v>
      </c>
      <c r="AB277" s="6" t="str">
        <f>VLOOKUP(D273,D$1:$L$601,1,FALSE)</f>
        <v>Loafers</v>
      </c>
      <c r="AC277" s="6">
        <f>VLOOKUP(E273,E$1:$L$601,1,FALSE)</f>
        <v>1.5178571428571428</v>
      </c>
      <c r="AD277" s="6">
        <f>VLOOKUP(F273,F$1:$L$601,1,FALSE)</f>
        <v>2557.4251351351354</v>
      </c>
      <c r="AE277" s="6">
        <f>VLOOKUP(G273,G$1:$L$601,1,FALSE)</f>
        <v>0.14000000000000001</v>
      </c>
      <c r="AF277" s="6">
        <f>VLOOKUP(H273,H$1:$L$601,1,FALSE)</f>
        <v>0</v>
      </c>
      <c r="AG277" s="6">
        <f>VLOOKUP(I273,I$1:$L$601,1,FALSE)</f>
        <v>45676</v>
      </c>
      <c r="AH277" s="6" t="str">
        <f>VLOOKUP(J273,J$1:$L$601,1,FALSE)</f>
        <v>MUMBAI</v>
      </c>
      <c r="AI277" s="6" t="str">
        <f>VLOOKUP(K273,K$1:$L$601,1,FALSE)</f>
        <v>B2B</v>
      </c>
      <c r="AJ277" s="6">
        <f>VLOOKUP(L273,L$1:$L$601,1,FALSE)</f>
        <v>-909.75</v>
      </c>
    </row>
    <row r="278" spans="1:36" x14ac:dyDescent="0.25">
      <c r="A278">
        <v>1287</v>
      </c>
      <c r="B278" t="s">
        <v>328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29</v>
      </c>
      <c r="K278" t="s">
        <v>24</v>
      </c>
      <c r="L278" s="2">
        <v>802.66</v>
      </c>
      <c r="Y278" s="6">
        <f>VLOOKUP(A274,A$1:$L$601,1,FALSE)</f>
        <v>1283</v>
      </c>
      <c r="Z278" s="6" t="str">
        <f>VLOOKUP(B274,B$1:$L$601,1,FALSE)</f>
        <v>Kelly Gray</v>
      </c>
      <c r="AA278" s="6" t="str">
        <f>VLOOKUP(C274,C$1:$L$601,1,FALSE)</f>
        <v>Shoes</v>
      </c>
      <c r="AB278" s="6" t="str">
        <f>VLOOKUP(D274,D$1:$L$601,1,FALSE)</f>
        <v>Slip-Ons</v>
      </c>
      <c r="AC278" s="6">
        <f>VLOOKUP(E274,E$1:$L$601,1,FALSE)</f>
        <v>1.6216216216216217</v>
      </c>
      <c r="AD278" s="6">
        <f>VLOOKUP(F274,F$1:$L$601,1,FALSE)</f>
        <v>2557.4251351351354</v>
      </c>
      <c r="AE278" s="6">
        <f>VLOOKUP(G274,G$1:$L$601,1,FALSE)</f>
        <v>0.08</v>
      </c>
      <c r="AF278" s="6">
        <f>VLOOKUP(H274,H$1:$L$601,1,FALSE)</f>
        <v>0</v>
      </c>
      <c r="AG278" s="6">
        <f>VLOOKUP(I274,I$1:$L$601,1,FALSE)</f>
        <v>45626.838268792708</v>
      </c>
      <c r="AH278" s="6" t="str">
        <f>VLOOKUP(J274,J$1:$L$601,1,FALSE)</f>
        <v>HYDERBAD</v>
      </c>
      <c r="AI278" s="6" t="str">
        <f>VLOOKUP(K274,K$1:$L$601,1,FALSE)</f>
        <v>B2B</v>
      </c>
      <c r="AJ278" s="6">
        <f>VLOOKUP(L274,L$1:$L$601,1,FALSE)</f>
        <v>379.24</v>
      </c>
    </row>
    <row r="279" spans="1:36" x14ac:dyDescent="0.25">
      <c r="A279">
        <v>1288</v>
      </c>
      <c r="B279" t="s">
        <v>329</v>
      </c>
      <c r="C279" t="s">
        <v>27</v>
      </c>
      <c r="D279" t="s">
        <v>65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24</v>
      </c>
      <c r="L279" s="2">
        <v>-492.73</v>
      </c>
      <c r="Y279" s="6">
        <f>VLOOKUP(A275,A$1:$L$601,1,FALSE)</f>
        <v>1284</v>
      </c>
      <c r="Z279" s="6" t="str">
        <f>VLOOKUP(B275,B$1:$L$601,1,FALSE)</f>
        <v>Carlos Walsh</v>
      </c>
      <c r="AA279" s="6" t="str">
        <f>VLOOKUP(C275,C$1:$L$601,1,FALSE)</f>
        <v>Jackets</v>
      </c>
      <c r="AB279" s="6" t="str">
        <f>VLOOKUP(D275,D$1:$L$601,1,FALSE)</f>
        <v>Puffer Coat</v>
      </c>
      <c r="AC279" s="6">
        <f>VLOOKUP(E275,E$1:$L$601,1,FALSE)</f>
        <v>1.8076923076923077</v>
      </c>
      <c r="AD279" s="6">
        <f>VLOOKUP(F275,F$1:$L$601,1,FALSE)</f>
        <v>1500.19</v>
      </c>
      <c r="AE279" s="6">
        <f>VLOOKUP(G275,G$1:$L$601,1,FALSE)</f>
        <v>0.69969696969696993</v>
      </c>
      <c r="AF279" s="6">
        <f>VLOOKUP(H275,H$1:$L$601,1,FALSE)</f>
        <v>0</v>
      </c>
      <c r="AG279" s="6">
        <f>VLOOKUP(I275,I$1:$L$601,1,FALSE)</f>
        <v>45430</v>
      </c>
      <c r="AH279" s="6" t="str">
        <f>VLOOKUP(J275,J$1:$L$601,1,FALSE)</f>
        <v>HYDERBAD</v>
      </c>
      <c r="AI279" s="6" t="str">
        <f>VLOOKUP(K275,K$1:$L$601,1,FALSE)</f>
        <v>B2C</v>
      </c>
      <c r="AJ279" s="6">
        <f>VLOOKUP(L275,L$1:$L$601,1,FALSE)</f>
        <v>-348.48</v>
      </c>
    </row>
    <row r="280" spans="1:36" x14ac:dyDescent="0.25">
      <c r="A280">
        <v>1289</v>
      </c>
      <c r="B280" t="s">
        <v>330</v>
      </c>
      <c r="C280" t="s">
        <v>21</v>
      </c>
      <c r="D280" t="s">
        <v>87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23</v>
      </c>
      <c r="K280" t="s">
        <v>16</v>
      </c>
      <c r="L280" s="2">
        <v>2052.5700000000002</v>
      </c>
      <c r="Y280" s="6">
        <f>VLOOKUP(A276,A$1:$L$601,1,FALSE)</f>
        <v>1285</v>
      </c>
      <c r="Z280" s="6" t="str">
        <f>VLOOKUP(B276,B$1:$L$601,1,FALSE)</f>
        <v>Deborah Mckee</v>
      </c>
      <c r="AA280" s="6" t="str">
        <f>VLOOKUP(C276,C$1:$L$601,1,FALSE)</f>
        <v>Accessories</v>
      </c>
      <c r="AB280" s="6" t="str">
        <f>VLOOKUP(D276,D$1:$L$601,1,FALSE)</f>
        <v>Belts</v>
      </c>
      <c r="AC280" s="6">
        <f>VLOOKUP(E276,E$1:$L$601,1,FALSE)</f>
        <v>5</v>
      </c>
      <c r="AD280" s="6">
        <f>VLOOKUP(F276,F$1:$L$601,1,FALSE)</f>
        <v>2706.1301960784322</v>
      </c>
      <c r="AE280" s="6">
        <f>VLOOKUP(G276,G$1:$L$601,1,FALSE)</f>
        <v>0.70297297297297334</v>
      </c>
      <c r="AF280" s="6">
        <f>VLOOKUP(H276,H$1:$L$601,1,FALSE)</f>
        <v>0</v>
      </c>
      <c r="AG280" s="6">
        <f>VLOOKUP(I276,I$1:$L$601,1,FALSE)</f>
        <v>45626.838268792708</v>
      </c>
      <c r="AH280" s="6" t="str">
        <f>VLOOKUP(J276,J$1:$L$601,1,FALSE)</f>
        <v>DELHI</v>
      </c>
      <c r="AI280" s="6" t="str">
        <f>VLOOKUP(K276,K$1:$L$601,1,FALSE)</f>
        <v>B2C</v>
      </c>
      <c r="AJ280" s="6">
        <f>VLOOKUP(L276,L$1:$L$601,1,FALSE)</f>
        <v>2024.84</v>
      </c>
    </row>
    <row r="281" spans="1:36" x14ac:dyDescent="0.25">
      <c r="A281">
        <v>1290</v>
      </c>
      <c r="B281" t="s">
        <v>331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24</v>
      </c>
      <c r="L281" s="2">
        <v>430.92</v>
      </c>
      <c r="Y281" s="6">
        <f>VLOOKUP(A277,A$1:$L$601,1,FALSE)</f>
        <v>1286</v>
      </c>
      <c r="Z281" s="6" t="str">
        <f>VLOOKUP(B277,B$1:$L$601,1,FALSE)</f>
        <v>Andrew Harmon</v>
      </c>
      <c r="AA281" s="6" t="str">
        <f>VLOOKUP(C277,C$1:$L$601,1,FALSE)</f>
        <v>T-Shirts</v>
      </c>
      <c r="AB281" s="6" t="str">
        <f>VLOOKUP(D277,D$1:$L$601,1,FALSE)</f>
        <v>Graphic Tee</v>
      </c>
      <c r="AC281" s="6">
        <f>VLOOKUP(E277,E$1:$L$601,1,FALSE)</f>
        <v>1.5178571428571428</v>
      </c>
      <c r="AD281" s="6">
        <f>VLOOKUP(F277,F$1:$L$601,1,FALSE)</f>
        <v>2972.45</v>
      </c>
      <c r="AE281" s="6">
        <f>VLOOKUP(G277,G$1:$L$601,1,FALSE)</f>
        <v>0.65787878787878773</v>
      </c>
      <c r="AF281" s="6">
        <f>VLOOKUP(H277,H$1:$L$601,1,FALSE)</f>
        <v>0</v>
      </c>
      <c r="AG281" s="6">
        <f>VLOOKUP(I277,I$1:$L$601,1,FALSE)</f>
        <v>45651</v>
      </c>
      <c r="AH281" s="6" t="str">
        <f>VLOOKUP(J277,J$1:$L$601,1,FALSE)</f>
        <v>MUMBAI</v>
      </c>
      <c r="AI281" s="6" t="str">
        <f>VLOOKUP(K277,K$1:$L$601,1,FALSE)</f>
        <v>B2C</v>
      </c>
      <c r="AJ281" s="6">
        <f>VLOOKUP(L277,L$1:$L$601,1,FALSE)</f>
        <v>2562.54</v>
      </c>
    </row>
    <row r="282" spans="1:36" x14ac:dyDescent="0.25">
      <c r="A282">
        <v>1291</v>
      </c>
      <c r="B282" t="s">
        <v>332</v>
      </c>
      <c r="C282" t="s">
        <v>21</v>
      </c>
      <c r="D282" t="s">
        <v>22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33</v>
      </c>
      <c r="K282" t="s">
        <v>16</v>
      </c>
      <c r="L282" s="2">
        <v>1073.44</v>
      </c>
      <c r="Y282" s="6">
        <f>VLOOKUP(A278,A$1:$L$601,1,FALSE)</f>
        <v>1287</v>
      </c>
      <c r="Z282" s="6" t="str">
        <f>VLOOKUP(B278,B$1:$L$601,1,FALSE)</f>
        <v>Todd Hall</v>
      </c>
      <c r="AA282" s="6" t="str">
        <f>VLOOKUP(C278,C$1:$L$601,1,FALSE)</f>
        <v>Jeans</v>
      </c>
      <c r="AB282" s="6" t="str">
        <f>VLOOKUP(D278,D$1:$L$601,1,FALSE)</f>
        <v>Slim Fit Jeans</v>
      </c>
      <c r="AC282" s="6">
        <f>VLOOKUP(E278,E$1:$L$601,1,FALSE)</f>
        <v>2.1052631578947367</v>
      </c>
      <c r="AD282" s="6">
        <f>VLOOKUP(F278,F$1:$L$601,1,FALSE)</f>
        <v>2676.4254237288142</v>
      </c>
      <c r="AE282" s="6">
        <f>VLOOKUP(G278,G$1:$L$601,1,FALSE)</f>
        <v>0.58977272727272723</v>
      </c>
      <c r="AF282" s="6">
        <f>VLOOKUP(H278,H$1:$L$601,1,FALSE)</f>
        <v>0</v>
      </c>
      <c r="AG282" s="6">
        <f>VLOOKUP(I278,I$1:$L$601,1,FALSE)</f>
        <v>45810</v>
      </c>
      <c r="AH282" s="6" t="str">
        <f>VLOOKUP(J278,J$1:$L$601,1,FALSE)</f>
        <v>BANGALORE</v>
      </c>
      <c r="AI282" s="6" t="str">
        <f>VLOOKUP(K278,K$1:$L$601,1,FALSE)</f>
        <v>B2B</v>
      </c>
      <c r="AJ282" s="6">
        <f>VLOOKUP(L278,L$1:$L$601,1,FALSE)</f>
        <v>802.66</v>
      </c>
    </row>
    <row r="283" spans="1:36" x14ac:dyDescent="0.25">
      <c r="A283">
        <v>1292</v>
      </c>
      <c r="B283" t="s">
        <v>333</v>
      </c>
      <c r="C283" t="s">
        <v>41</v>
      </c>
      <c r="D283" t="s">
        <v>59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23</v>
      </c>
      <c r="K283" t="s">
        <v>16</v>
      </c>
      <c r="L283" s="2">
        <v>1165.8599999999999</v>
      </c>
      <c r="Y283" s="6">
        <f>VLOOKUP(A279,A$1:$L$601,1,FALSE)</f>
        <v>1288</v>
      </c>
      <c r="Z283" s="6" t="str">
        <f>VLOOKUP(B279,B$1:$L$601,1,FALSE)</f>
        <v>Danny Gilbert</v>
      </c>
      <c r="AA283" s="6" t="str">
        <f>VLOOKUP(C279,C$1:$L$601,1,FALSE)</f>
        <v>Shoes</v>
      </c>
      <c r="AB283" s="6" t="str">
        <f>VLOOKUP(D279,D$1:$L$601,1,FALSE)</f>
        <v>Slip-Ons</v>
      </c>
      <c r="AC283" s="6">
        <f>VLOOKUP(E279,E$1:$L$601,1,FALSE)</f>
        <v>4</v>
      </c>
      <c r="AD283" s="6">
        <f>VLOOKUP(F279,F$1:$L$601,1,FALSE)</f>
        <v>2557.4251351351354</v>
      </c>
      <c r="AE283" s="6">
        <f>VLOOKUP(G279,G$1:$L$601,1,FALSE)</f>
        <v>0.59740740740740739</v>
      </c>
      <c r="AF283" s="6">
        <f>VLOOKUP(H279,H$1:$L$601,1,FALSE)</f>
        <v>0</v>
      </c>
      <c r="AG283" s="6">
        <f>VLOOKUP(I279,I$1:$L$601,1,FALSE)</f>
        <v>45626.838268792708</v>
      </c>
      <c r="AH283" s="6" t="str">
        <f>VLOOKUP(J279,J$1:$L$601,1,FALSE)</f>
        <v>DELHI</v>
      </c>
      <c r="AI283" s="6" t="str">
        <f>VLOOKUP(K279,K$1:$L$601,1,FALSE)</f>
        <v>B2B</v>
      </c>
      <c r="AJ283" s="6">
        <f>VLOOKUP(L279,L$1:$L$601,1,FALSE)</f>
        <v>-492.73</v>
      </c>
    </row>
    <row r="284" spans="1:36" x14ac:dyDescent="0.25">
      <c r="A284">
        <v>1293</v>
      </c>
      <c r="B284" t="s">
        <v>334</v>
      </c>
      <c r="C284" t="s">
        <v>21</v>
      </c>
      <c r="D284" t="s">
        <v>87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33</v>
      </c>
      <c r="K284" t="s">
        <v>24</v>
      </c>
      <c r="L284" s="2">
        <v>2073.16</v>
      </c>
      <c r="Y284" s="6">
        <f>VLOOKUP(A280,A$1:$L$601,1,FALSE)</f>
        <v>1289</v>
      </c>
      <c r="Z284" s="6" t="str">
        <f>VLOOKUP(B280,B$1:$L$601,1,FALSE)</f>
        <v>Lauren Johnson</v>
      </c>
      <c r="AA284" s="6" t="str">
        <f>VLOOKUP(C280,C$1:$L$601,1,FALSE)</f>
        <v>Jackets</v>
      </c>
      <c r="AB284" s="6" t="str">
        <f>VLOOKUP(D280,D$1:$L$601,1,FALSE)</f>
        <v>Denim Jacket</v>
      </c>
      <c r="AC284" s="6">
        <f>VLOOKUP(E280,E$1:$L$601,1,FALSE)</f>
        <v>1.8076923076923077</v>
      </c>
      <c r="AD284" s="6">
        <f>VLOOKUP(F280,F$1:$L$601,1,FALSE)</f>
        <v>3590.85</v>
      </c>
      <c r="AE284" s="6">
        <f>VLOOKUP(G280,G$1:$L$601,1,FALSE)</f>
        <v>0.69969696969696993</v>
      </c>
      <c r="AF284" s="6">
        <f>VLOOKUP(H280,H$1:$L$601,1,FALSE)</f>
        <v>0</v>
      </c>
      <c r="AG284" s="6">
        <f>VLOOKUP(I280,I$1:$L$601,1,FALSE)</f>
        <v>45626.838268792708</v>
      </c>
      <c r="AH284" s="6" t="str">
        <f>VLOOKUP(J280,J$1:$L$601,1,FALSE)</f>
        <v>MUMBAI</v>
      </c>
      <c r="AI284" s="6" t="str">
        <f>VLOOKUP(K280,K$1:$L$601,1,FALSE)</f>
        <v>B2C</v>
      </c>
      <c r="AJ284" s="6">
        <f>VLOOKUP(L280,L$1:$L$601,1,FALSE)</f>
        <v>2052.5700000000002</v>
      </c>
    </row>
    <row r="285" spans="1:36" x14ac:dyDescent="0.25">
      <c r="A285">
        <v>1294</v>
      </c>
      <c r="B285" t="s">
        <v>335</v>
      </c>
      <c r="C285" t="s">
        <v>31</v>
      </c>
      <c r="D285" t="s">
        <v>119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24</v>
      </c>
      <c r="L285" s="2">
        <v>898.24</v>
      </c>
      <c r="Y285" s="6">
        <f>VLOOKUP(A281,A$1:$L$601,1,FALSE)</f>
        <v>1290</v>
      </c>
      <c r="Z285" s="6" t="str">
        <f>VLOOKUP(B281,B$1:$L$601,1,FALSE)</f>
        <v>Katherine Parsons</v>
      </c>
      <c r="AA285" s="6" t="str">
        <f>VLOOKUP(C281,C$1:$L$601,1,FALSE)</f>
        <v>Jeans</v>
      </c>
      <c r="AB285" s="6" t="str">
        <f>VLOOKUP(D281,D$1:$L$601,1,FALSE)</f>
        <v>Slim Fit Jeans</v>
      </c>
      <c r="AC285" s="6">
        <f>VLOOKUP(E281,E$1:$L$601,1,FALSE)</f>
        <v>2.1052631578947367</v>
      </c>
      <c r="AD285" s="6">
        <f>VLOOKUP(F281,F$1:$L$601,1,FALSE)</f>
        <v>1412.12</v>
      </c>
      <c r="AE285" s="6">
        <f>VLOOKUP(G281,G$1:$L$601,1,FALSE)</f>
        <v>1.2E-2</v>
      </c>
      <c r="AF285" s="6">
        <f>VLOOKUP(H281,H$1:$L$601,1,FALSE)</f>
        <v>0</v>
      </c>
      <c r="AG285" s="6">
        <f>VLOOKUP(I281,I$1:$L$601,1,FALSE)</f>
        <v>45626.838268792708</v>
      </c>
      <c r="AH285" s="6" t="str">
        <f>VLOOKUP(J281,J$1:$L$601,1,FALSE)</f>
        <v>DELHI</v>
      </c>
      <c r="AI285" s="6" t="str">
        <f>VLOOKUP(K281,K$1:$L$601,1,FALSE)</f>
        <v>B2B</v>
      </c>
      <c r="AJ285" s="6">
        <f>VLOOKUP(L281,L$1:$L$601,1,FALSE)</f>
        <v>430.92</v>
      </c>
    </row>
    <row r="286" spans="1:36" x14ac:dyDescent="0.25">
      <c r="A286">
        <v>1295</v>
      </c>
      <c r="B286" t="s">
        <v>336</v>
      </c>
      <c r="C286" t="s">
        <v>21</v>
      </c>
      <c r="D286" t="s">
        <v>121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29</v>
      </c>
      <c r="K286" t="s">
        <v>16</v>
      </c>
      <c r="L286" s="2">
        <v>2967.72</v>
      </c>
      <c r="Y286" s="6">
        <f>VLOOKUP(A282,A$1:$L$601,1,FALSE)</f>
        <v>1291</v>
      </c>
      <c r="Z286" s="6" t="str">
        <f>VLOOKUP(B282,B$1:$L$601,1,FALSE)</f>
        <v>Jason Calhoun</v>
      </c>
      <c r="AA286" s="6" t="str">
        <f>VLOOKUP(C282,C$1:$L$601,1,FALSE)</f>
        <v>Jackets</v>
      </c>
      <c r="AB286" s="6" t="str">
        <f>VLOOKUP(D282,D$1:$L$601,1,FALSE)</f>
        <v>Puffer Coat</v>
      </c>
      <c r="AC286" s="6">
        <f>VLOOKUP(E282,E$1:$L$601,1,FALSE)</f>
        <v>1.8076923076923077</v>
      </c>
      <c r="AD286" s="6">
        <f>VLOOKUP(F282,F$1:$L$601,1,FALSE)</f>
        <v>2811.5702272727276</v>
      </c>
      <c r="AE286" s="6">
        <f>VLOOKUP(G282,G$1:$L$601,1,FALSE)</f>
        <v>0.69969696969696993</v>
      </c>
      <c r="AF286" s="6">
        <f>VLOOKUP(H282,H$1:$L$601,1,FALSE)</f>
        <v>0</v>
      </c>
      <c r="AG286" s="6">
        <f>VLOOKUP(I282,I$1:$L$601,1,FALSE)</f>
        <v>45626.838268792708</v>
      </c>
      <c r="AH286" s="6" t="str">
        <f>VLOOKUP(J282,J$1:$L$601,1,FALSE)</f>
        <v>HYDERBAD</v>
      </c>
      <c r="AI286" s="6" t="str">
        <f>VLOOKUP(K282,K$1:$L$601,1,FALSE)</f>
        <v>B2C</v>
      </c>
      <c r="AJ286" s="6">
        <f>VLOOKUP(L282,L$1:$L$601,1,FALSE)</f>
        <v>1073.44</v>
      </c>
    </row>
    <row r="287" spans="1:36" x14ac:dyDescent="0.25">
      <c r="A287">
        <v>1296</v>
      </c>
      <c r="B287" t="s">
        <v>337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29</v>
      </c>
      <c r="K287" t="s">
        <v>24</v>
      </c>
      <c r="L287" s="2">
        <v>1438.47</v>
      </c>
      <c r="Y287" s="6">
        <f>VLOOKUP(A283,A$1:$L$601,1,FALSE)</f>
        <v>1292</v>
      </c>
      <c r="Z287" s="6" t="str">
        <f>VLOOKUP(B283,B$1:$L$601,1,FALSE)</f>
        <v>Amy Howard</v>
      </c>
      <c r="AA287" s="6" t="str">
        <f>VLOOKUP(C283,C$1:$L$601,1,FALSE)</f>
        <v>Dresses</v>
      </c>
      <c r="AB287" s="6" t="str">
        <f>VLOOKUP(D283,D$1:$L$601,1,FALSE)</f>
        <v>Maxi Dress</v>
      </c>
      <c r="AC287" s="6">
        <f>VLOOKUP(E283,E$1:$L$601,1,FALSE)</f>
        <v>3</v>
      </c>
      <c r="AD287" s="6">
        <f>VLOOKUP(F283,F$1:$L$601,1,FALSE)</f>
        <v>2949.9901960784309</v>
      </c>
      <c r="AE287" s="6">
        <f>VLOOKUP(G283,G$1:$L$601,1,FALSE)</f>
        <v>0.46</v>
      </c>
      <c r="AF287" s="6">
        <f>VLOOKUP(H283,H$1:$L$601,1,FALSE)</f>
        <v>0</v>
      </c>
      <c r="AG287" s="6">
        <f>VLOOKUP(I283,I$1:$L$601,1,FALSE)</f>
        <v>45626.838268792708</v>
      </c>
      <c r="AH287" s="6" t="str">
        <f>VLOOKUP(J283,J$1:$L$601,1,FALSE)</f>
        <v>MUMBAI</v>
      </c>
      <c r="AI287" s="6" t="str">
        <f>VLOOKUP(K283,K$1:$L$601,1,FALSE)</f>
        <v>B2C</v>
      </c>
      <c r="AJ287" s="6">
        <f>VLOOKUP(L283,L$1:$L$601,1,FALSE)</f>
        <v>1165.8599999999999</v>
      </c>
    </row>
    <row r="288" spans="1:36" x14ac:dyDescent="0.25">
      <c r="A288">
        <v>1297</v>
      </c>
      <c r="B288" t="s">
        <v>338</v>
      </c>
      <c r="C288" t="s">
        <v>21</v>
      </c>
      <c r="D288" t="s">
        <v>22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  <c r="Y288" s="6">
        <f>VLOOKUP(A284,A$1:$L$601,1,FALSE)</f>
        <v>1293</v>
      </c>
      <c r="Z288" s="6" t="str">
        <f>VLOOKUP(B284,B$1:$L$601,1,FALSE)</f>
        <v>Cindy Hall</v>
      </c>
      <c r="AA288" s="6" t="str">
        <f>VLOOKUP(C284,C$1:$L$601,1,FALSE)</f>
        <v>Jackets</v>
      </c>
      <c r="AB288" s="6" t="str">
        <f>VLOOKUP(D284,D$1:$L$601,1,FALSE)</f>
        <v>Denim Jacket</v>
      </c>
      <c r="AC288" s="6">
        <f>VLOOKUP(E284,E$1:$L$601,1,FALSE)</f>
        <v>1.8076923076923077</v>
      </c>
      <c r="AD288" s="6">
        <f>VLOOKUP(F284,F$1:$L$601,1,FALSE)</f>
        <v>2811.5702272727276</v>
      </c>
      <c r="AE288" s="6">
        <f>VLOOKUP(G284,G$1:$L$601,1,FALSE)</f>
        <v>0.69969696969696993</v>
      </c>
      <c r="AF288" s="6">
        <f>VLOOKUP(H284,H$1:$L$601,1,FALSE)</f>
        <v>0</v>
      </c>
      <c r="AG288" s="6">
        <f>VLOOKUP(I284,I$1:$L$601,1,FALSE)</f>
        <v>45626.838268792708</v>
      </c>
      <c r="AH288" s="6" t="str">
        <f>VLOOKUP(J284,J$1:$L$601,1,FALSE)</f>
        <v>HYDERBAD</v>
      </c>
      <c r="AI288" s="6" t="str">
        <f>VLOOKUP(K284,K$1:$L$601,1,FALSE)</f>
        <v>B2B</v>
      </c>
      <c r="AJ288" s="6">
        <f>VLOOKUP(L284,L$1:$L$601,1,FALSE)</f>
        <v>2073.16</v>
      </c>
    </row>
    <row r="289" spans="1:36" x14ac:dyDescent="0.25">
      <c r="A289">
        <v>1298</v>
      </c>
      <c r="B289" t="s">
        <v>339</v>
      </c>
      <c r="C289" t="s">
        <v>36</v>
      </c>
      <c r="D289" t="s">
        <v>81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19</v>
      </c>
      <c r="K289" t="s">
        <v>16</v>
      </c>
      <c r="L289" s="2">
        <v>2490.23</v>
      </c>
      <c r="Y289" s="6">
        <f>VLOOKUP(A285,A$1:$L$601,1,FALSE)</f>
        <v>1294</v>
      </c>
      <c r="Z289" s="6" t="str">
        <f>VLOOKUP(B285,B$1:$L$601,1,FALSE)</f>
        <v>Jeff Hernandez</v>
      </c>
      <c r="AA289" s="6" t="str">
        <f>VLOOKUP(C285,C$1:$L$601,1,FALSE)</f>
        <v>Accessories</v>
      </c>
      <c r="AB289" s="6" t="str">
        <f>VLOOKUP(D285,D$1:$L$601,1,FALSE)</f>
        <v>Watches</v>
      </c>
      <c r="AC289" s="6">
        <f>VLOOKUP(E285,E$1:$L$601,1,FALSE)</f>
        <v>2.4893617021276597</v>
      </c>
      <c r="AD289" s="6">
        <f>VLOOKUP(F285,F$1:$L$601,1,FALSE)</f>
        <v>2706.1301960784322</v>
      </c>
      <c r="AE289" s="6">
        <f>VLOOKUP(G285,G$1:$L$601,1,FALSE)</f>
        <v>0.56000000000000005</v>
      </c>
      <c r="AF289" s="6">
        <f>VLOOKUP(H285,H$1:$L$601,1,FALSE)</f>
        <v>0</v>
      </c>
      <c r="AG289" s="6">
        <f>VLOOKUP(I285,I$1:$L$601,1,FALSE)</f>
        <v>45626.838268792708</v>
      </c>
      <c r="AH289" s="6" t="str">
        <f>VLOOKUP(J285,J$1:$L$601,1,FALSE)</f>
        <v>DELHI</v>
      </c>
      <c r="AI289" s="6" t="str">
        <f>VLOOKUP(K285,K$1:$L$601,1,FALSE)</f>
        <v>B2B</v>
      </c>
      <c r="AJ289" s="6">
        <f>VLOOKUP(L285,L$1:$L$601,1,FALSE)</f>
        <v>898.24</v>
      </c>
    </row>
    <row r="290" spans="1:36" x14ac:dyDescent="0.25">
      <c r="A290">
        <v>1299</v>
      </c>
      <c r="B290" t="s">
        <v>340</v>
      </c>
      <c r="C290" t="s">
        <v>21</v>
      </c>
      <c r="D290" t="s">
        <v>87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33</v>
      </c>
      <c r="K290" t="s">
        <v>16</v>
      </c>
      <c r="L290" s="2">
        <v>1178.3699999999999</v>
      </c>
      <c r="Y290" s="6">
        <f>VLOOKUP(A286,A$1:$L$601,1,FALSE)</f>
        <v>1295</v>
      </c>
      <c r="Z290" s="6" t="str">
        <f>VLOOKUP(B286,B$1:$L$601,1,FALSE)</f>
        <v>Tiffany Maxwell</v>
      </c>
      <c r="AA290" s="6" t="str">
        <f>VLOOKUP(C286,C$1:$L$601,1,FALSE)</f>
        <v>Jackets</v>
      </c>
      <c r="AB290" s="6" t="str">
        <f>VLOOKUP(D286,D$1:$L$601,1,FALSE)</f>
        <v>Leather Jacket</v>
      </c>
      <c r="AC290" s="6">
        <f>VLOOKUP(E286,E$1:$L$601,1,FALSE)</f>
        <v>1.5178571428571428</v>
      </c>
      <c r="AD290" s="6">
        <f>VLOOKUP(F286,F$1:$L$601,1,FALSE)</f>
        <v>2811.5702272727276</v>
      </c>
      <c r="AE290" s="6">
        <f>VLOOKUP(G286,G$1:$L$601,1,FALSE)</f>
        <v>0.69969696969696993</v>
      </c>
      <c r="AF290" s="6">
        <f>VLOOKUP(H286,H$1:$L$601,1,FALSE)</f>
        <v>0</v>
      </c>
      <c r="AG290" s="6">
        <f>VLOOKUP(I286,I$1:$L$601,1,FALSE)</f>
        <v>45499</v>
      </c>
      <c r="AH290" s="6" t="str">
        <f>VLOOKUP(J286,J$1:$L$601,1,FALSE)</f>
        <v>BANGALORE</v>
      </c>
      <c r="AI290" s="6" t="str">
        <f>VLOOKUP(K286,K$1:$L$601,1,FALSE)</f>
        <v>B2C</v>
      </c>
      <c r="AJ290" s="6">
        <f>VLOOKUP(L286,L$1:$L$601,1,FALSE)</f>
        <v>2967.72</v>
      </c>
    </row>
    <row r="291" spans="1:36" x14ac:dyDescent="0.25">
      <c r="A291">
        <v>1300</v>
      </c>
      <c r="B291" t="s">
        <v>341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24</v>
      </c>
      <c r="L291" s="2">
        <v>703.48</v>
      </c>
      <c r="Y291" s="6">
        <f>VLOOKUP(A287,A$1:$L$601,1,FALSE)</f>
        <v>1296</v>
      </c>
      <c r="Z291" s="6" t="str">
        <f>VLOOKUP(B287,B$1:$L$601,1,FALSE)</f>
        <v>Lori Orozco</v>
      </c>
      <c r="AA291" s="6" t="str">
        <f>VLOOKUP(C287,C$1:$L$601,1,FALSE)</f>
        <v>Jeans</v>
      </c>
      <c r="AB291" s="6" t="str">
        <f>VLOOKUP(D287,D$1:$L$601,1,FALSE)</f>
        <v>Slim Fit Jeans</v>
      </c>
      <c r="AC291" s="6">
        <f>VLOOKUP(E287,E$1:$L$601,1,FALSE)</f>
        <v>1.5178571428571428</v>
      </c>
      <c r="AD291" s="6">
        <f>VLOOKUP(F287,F$1:$L$601,1,FALSE)</f>
        <v>2795.79</v>
      </c>
      <c r="AE291" s="6">
        <f>VLOOKUP(G287,G$1:$L$601,1,FALSE)</f>
        <v>0.58977272727272723</v>
      </c>
      <c r="AF291" s="6">
        <f>VLOOKUP(H287,H$1:$L$601,1,FALSE)</f>
        <v>0</v>
      </c>
      <c r="AG291" s="6">
        <f>VLOOKUP(I287,I$1:$L$601,1,FALSE)</f>
        <v>45742</v>
      </c>
      <c r="AH291" s="6" t="str">
        <f>VLOOKUP(J287,J$1:$L$601,1,FALSE)</f>
        <v>BANGALORE</v>
      </c>
      <c r="AI291" s="6" t="str">
        <f>VLOOKUP(K287,K$1:$L$601,1,FALSE)</f>
        <v>B2B</v>
      </c>
      <c r="AJ291" s="6">
        <f>VLOOKUP(L287,L$1:$L$601,1,FALSE)</f>
        <v>1438.47</v>
      </c>
    </row>
    <row r="292" spans="1:36" x14ac:dyDescent="0.25">
      <c r="A292">
        <v>1302</v>
      </c>
      <c r="B292" t="s">
        <v>342</v>
      </c>
      <c r="C292" t="s">
        <v>13</v>
      </c>
      <c r="D292" t="s">
        <v>101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19</v>
      </c>
      <c r="K292" t="s">
        <v>16</v>
      </c>
      <c r="L292" s="2">
        <v>339.17</v>
      </c>
      <c r="Y292" s="6">
        <f>VLOOKUP(A288,A$1:$L$601,1,FALSE)</f>
        <v>1297</v>
      </c>
      <c r="Z292" s="6" t="str">
        <f>VLOOKUP(B288,B$1:$L$601,1,FALSE)</f>
        <v>Sharon Combs</v>
      </c>
      <c r="AA292" s="6" t="str">
        <f>VLOOKUP(C288,C$1:$L$601,1,FALSE)</f>
        <v>Jackets</v>
      </c>
      <c r="AB292" s="6" t="str">
        <f>VLOOKUP(D288,D$1:$L$601,1,FALSE)</f>
        <v>Puffer Coat</v>
      </c>
      <c r="AC292" s="6">
        <f>VLOOKUP(E288,E$1:$L$601,1,FALSE)</f>
        <v>1.8076923076923077</v>
      </c>
      <c r="AD292" s="6">
        <f>VLOOKUP(F288,F$1:$L$601,1,FALSE)</f>
        <v>4524.2</v>
      </c>
      <c r="AE292" s="6">
        <f>VLOOKUP(G288,G$1:$L$601,1,FALSE)</f>
        <v>0.69969696969696993</v>
      </c>
      <c r="AF292" s="6">
        <f>VLOOKUP(H288,H$1:$L$601,1,FALSE)</f>
        <v>0</v>
      </c>
      <c r="AG292" s="6">
        <f>VLOOKUP(I288,I$1:$L$601,1,FALSE)</f>
        <v>45330</v>
      </c>
      <c r="AH292" s="6" t="str">
        <f>VLOOKUP(J288,J$1:$L$601,1,FALSE)</f>
        <v>DELHI</v>
      </c>
      <c r="AI292" s="6" t="str">
        <f>VLOOKUP(K288,K$1:$L$601,1,FALSE)</f>
        <v>B2C</v>
      </c>
      <c r="AJ292" s="6">
        <f>VLOOKUP(L288,L$1:$L$601,1,FALSE)</f>
        <v>1637.33</v>
      </c>
    </row>
    <row r="293" spans="1:36" x14ac:dyDescent="0.25">
      <c r="A293">
        <v>1303</v>
      </c>
      <c r="B293" t="s">
        <v>343</v>
      </c>
      <c r="C293" t="s">
        <v>13</v>
      </c>
      <c r="D293" t="s">
        <v>51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48</v>
      </c>
      <c r="K293" t="s">
        <v>24</v>
      </c>
      <c r="L293" s="2">
        <v>505.33</v>
      </c>
      <c r="Y293" s="6">
        <f>VLOOKUP(A289,A$1:$L$601,1,FALSE)</f>
        <v>1298</v>
      </c>
      <c r="Z293" s="6" t="str">
        <f>VLOOKUP(B289,B$1:$L$601,1,FALSE)</f>
        <v>Dylan Newton</v>
      </c>
      <c r="AA293" s="6" t="str">
        <f>VLOOKUP(C289,C$1:$L$601,1,FALSE)</f>
        <v>T-Shirts</v>
      </c>
      <c r="AB293" s="6" t="str">
        <f>VLOOKUP(D289,D$1:$L$601,1,FALSE)</f>
        <v>Graphic Tee</v>
      </c>
      <c r="AC293" s="6">
        <f>VLOOKUP(E289,E$1:$L$601,1,FALSE)</f>
        <v>1.5178571428571428</v>
      </c>
      <c r="AD293" s="6">
        <f>VLOOKUP(F289,F$1:$L$601,1,FALSE)</f>
        <v>2742.2927659574466</v>
      </c>
      <c r="AE293" s="6">
        <f>VLOOKUP(G289,G$1:$L$601,1,FALSE)</f>
        <v>0.65787878787878773</v>
      </c>
      <c r="AF293" s="6">
        <f>VLOOKUP(H289,H$1:$L$601,1,FALSE)</f>
        <v>0</v>
      </c>
      <c r="AG293" s="6">
        <f>VLOOKUP(I289,I$1:$L$601,1,FALSE)</f>
        <v>45657</v>
      </c>
      <c r="AH293" s="6" t="str">
        <f>VLOOKUP(J289,J$1:$L$601,1,FALSE)</f>
        <v>AHMEDABAD</v>
      </c>
      <c r="AI293" s="6" t="str">
        <f>VLOOKUP(K289,K$1:$L$601,1,FALSE)</f>
        <v>B2C</v>
      </c>
      <c r="AJ293" s="6">
        <f>VLOOKUP(L289,L$1:$L$601,1,FALSE)</f>
        <v>2490.23</v>
      </c>
    </row>
    <row r="294" spans="1:36" x14ac:dyDescent="0.25">
      <c r="A294">
        <v>1305</v>
      </c>
      <c r="B294" t="s">
        <v>344</v>
      </c>
      <c r="C294" t="s">
        <v>21</v>
      </c>
      <c r="D294" t="s">
        <v>79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  <c r="Y294" s="6">
        <f>VLOOKUP(A290,A$1:$L$601,1,FALSE)</f>
        <v>1299</v>
      </c>
      <c r="Z294" s="6" t="str">
        <f>VLOOKUP(B290,B$1:$L$601,1,FALSE)</f>
        <v>John Levine</v>
      </c>
      <c r="AA294" s="6" t="str">
        <f>VLOOKUP(C290,C$1:$L$601,1,FALSE)</f>
        <v>Jackets</v>
      </c>
      <c r="AB294" s="6" t="str">
        <f>VLOOKUP(D290,D$1:$L$601,1,FALSE)</f>
        <v>Denim Jacket</v>
      </c>
      <c r="AC294" s="6">
        <f>VLOOKUP(E290,E$1:$L$601,1,FALSE)</f>
        <v>1</v>
      </c>
      <c r="AD294" s="6">
        <f>VLOOKUP(F290,F$1:$L$601,1,FALSE)</f>
        <v>1026.58</v>
      </c>
      <c r="AE294" s="6">
        <f>VLOOKUP(G290,G$1:$L$601,1,FALSE)</f>
        <v>0.69969696969696993</v>
      </c>
      <c r="AF294" s="6">
        <f>VLOOKUP(H290,H$1:$L$601,1,FALSE)</f>
        <v>0</v>
      </c>
      <c r="AG294" s="6">
        <f>VLOOKUP(I290,I$1:$L$601,1,FALSE)</f>
        <v>45591</v>
      </c>
      <c r="AH294" s="6" t="str">
        <f>VLOOKUP(J290,J$1:$L$601,1,FALSE)</f>
        <v>HYDERBAD</v>
      </c>
      <c r="AI294" s="6" t="str">
        <f>VLOOKUP(K290,K$1:$L$601,1,FALSE)</f>
        <v>B2C</v>
      </c>
      <c r="AJ294" s="6">
        <f>VLOOKUP(L290,L$1:$L$601,1,FALSE)</f>
        <v>1178.3699999999999</v>
      </c>
    </row>
    <row r="295" spans="1:36" x14ac:dyDescent="0.25">
      <c r="A295">
        <v>1306</v>
      </c>
      <c r="B295" t="s">
        <v>345</v>
      </c>
      <c r="C295" t="s">
        <v>31</v>
      </c>
      <c r="D295" t="s">
        <v>32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19</v>
      </c>
      <c r="K295" t="s">
        <v>16</v>
      </c>
      <c r="L295" s="2">
        <v>99.1</v>
      </c>
      <c r="Y295" s="6">
        <f>VLOOKUP(A291,A$1:$L$601,1,FALSE)</f>
        <v>1300</v>
      </c>
      <c r="Z295" s="6" t="str">
        <f>VLOOKUP(B291,B$1:$L$601,1,FALSE)</f>
        <v>Latoya Johnson</v>
      </c>
      <c r="AA295" s="6" t="str">
        <f>VLOOKUP(C291,C$1:$L$601,1,FALSE)</f>
        <v>Jeans</v>
      </c>
      <c r="AB295" s="6" t="str">
        <f>VLOOKUP(D291,D$1:$L$601,1,FALSE)</f>
        <v>Slim Fit Jeans</v>
      </c>
      <c r="AC295" s="6">
        <f>VLOOKUP(E291,E$1:$L$601,1,FALSE)</f>
        <v>2.1052631578947367</v>
      </c>
      <c r="AD295" s="6">
        <f>VLOOKUP(F291,F$1:$L$601,1,FALSE)</f>
        <v>4611.8999999999996</v>
      </c>
      <c r="AE295" s="6">
        <f>VLOOKUP(G291,G$1:$L$601,1,FALSE)</f>
        <v>0.58977272727272723</v>
      </c>
      <c r="AF295" s="6">
        <f>VLOOKUP(H291,H$1:$L$601,1,FALSE)</f>
        <v>0</v>
      </c>
      <c r="AG295" s="6">
        <f>VLOOKUP(I291,I$1:$L$601,1,FALSE)</f>
        <v>45772</v>
      </c>
      <c r="AH295" s="6" t="str">
        <f>VLOOKUP(J291,J$1:$L$601,1,FALSE)</f>
        <v>DELHI</v>
      </c>
      <c r="AI295" s="6" t="str">
        <f>VLOOKUP(K291,K$1:$L$601,1,FALSE)</f>
        <v>B2B</v>
      </c>
      <c r="AJ295" s="6">
        <f>VLOOKUP(L291,L$1:$L$601,1,FALSE)</f>
        <v>703.48</v>
      </c>
    </row>
    <row r="296" spans="1:36" x14ac:dyDescent="0.25">
      <c r="A296">
        <v>1307</v>
      </c>
      <c r="B296" t="s">
        <v>346</v>
      </c>
      <c r="C296" t="s">
        <v>41</v>
      </c>
      <c r="D296" t="s">
        <v>59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19</v>
      </c>
      <c r="K296" t="s">
        <v>24</v>
      </c>
      <c r="L296" s="2">
        <v>642</v>
      </c>
      <c r="Y296" s="6">
        <f>VLOOKUP(A292,A$1:$L$601,1,FALSE)</f>
        <v>1302</v>
      </c>
      <c r="Z296" s="6" t="str">
        <f>VLOOKUP(B292,B$1:$L$601,1,FALSE)</f>
        <v>Adam Bryan</v>
      </c>
      <c r="AA296" s="6" t="str">
        <f>VLOOKUP(C292,C$1:$L$601,1,FALSE)</f>
        <v>Jeans</v>
      </c>
      <c r="AB296" s="6" t="str">
        <f>VLOOKUP(D292,D$1:$L$601,1,FALSE)</f>
        <v>Ripped Denim</v>
      </c>
      <c r="AC296" s="6">
        <f>VLOOKUP(E292,E$1:$L$601,1,FALSE)</f>
        <v>5</v>
      </c>
      <c r="AD296" s="6">
        <f>VLOOKUP(F292,F$1:$L$601,1,FALSE)</f>
        <v>2676.4254237288142</v>
      </c>
      <c r="AE296" s="6">
        <f>VLOOKUP(G292,G$1:$L$601,1,FALSE)</f>
        <v>0.09</v>
      </c>
      <c r="AF296" s="6">
        <f>VLOOKUP(H292,H$1:$L$601,1,FALSE)</f>
        <v>0</v>
      </c>
      <c r="AG296" s="6">
        <f>VLOOKUP(I292,I$1:$L$601,1,FALSE)</f>
        <v>45702</v>
      </c>
      <c r="AH296" s="6" t="str">
        <f>VLOOKUP(J292,J$1:$L$601,1,FALSE)</f>
        <v>AHMEDABAD</v>
      </c>
      <c r="AI296" s="6" t="str">
        <f>VLOOKUP(K292,K$1:$L$601,1,FALSE)</f>
        <v>B2C</v>
      </c>
      <c r="AJ296" s="6">
        <f>VLOOKUP(L292,L$1:$L$601,1,FALSE)</f>
        <v>339.17</v>
      </c>
    </row>
    <row r="297" spans="1:36" x14ac:dyDescent="0.25">
      <c r="A297">
        <v>1308</v>
      </c>
      <c r="B297" t="s">
        <v>347</v>
      </c>
      <c r="C297" t="s">
        <v>41</v>
      </c>
      <c r="D297" t="s">
        <v>90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23</v>
      </c>
      <c r="K297" t="s">
        <v>24</v>
      </c>
      <c r="L297" s="2">
        <v>464.65</v>
      </c>
      <c r="Y297" s="6">
        <f>VLOOKUP(A293,A$1:$L$601,1,FALSE)</f>
        <v>1303</v>
      </c>
      <c r="Z297" s="6" t="str">
        <f>VLOOKUP(B293,B$1:$L$601,1,FALSE)</f>
        <v>Laura Smith</v>
      </c>
      <c r="AA297" s="6" t="str">
        <f>VLOOKUP(C293,C$1:$L$601,1,FALSE)</f>
        <v>Jeans</v>
      </c>
      <c r="AB297" s="6" t="str">
        <f>VLOOKUP(D293,D$1:$L$601,1,FALSE)</f>
        <v>Straight Cut</v>
      </c>
      <c r="AC297" s="6">
        <f>VLOOKUP(E293,E$1:$L$601,1,FALSE)</f>
        <v>3</v>
      </c>
      <c r="AD297" s="6">
        <f>VLOOKUP(F293,F$1:$L$601,1,FALSE)</f>
        <v>1192.1600000000001</v>
      </c>
      <c r="AE297" s="6">
        <f>VLOOKUP(G293,G$1:$L$601,1,FALSE)</f>
        <v>0.58977272727272723</v>
      </c>
      <c r="AF297" s="6">
        <f>VLOOKUP(H293,H$1:$L$601,1,FALSE)</f>
        <v>0</v>
      </c>
      <c r="AG297" s="6">
        <f>VLOOKUP(I293,I$1:$L$601,1,FALSE)</f>
        <v>45626.838268792708</v>
      </c>
      <c r="AH297" s="6" t="str">
        <f>VLOOKUP(J293,J$1:$L$601,1,FALSE)</f>
        <v>PUNE</v>
      </c>
      <c r="AI297" s="6" t="str">
        <f>VLOOKUP(K293,K$1:$L$601,1,FALSE)</f>
        <v>B2B</v>
      </c>
      <c r="AJ297" s="6">
        <f>VLOOKUP(L293,L$1:$L$601,1,FALSE)</f>
        <v>505.33</v>
      </c>
    </row>
    <row r="298" spans="1:36" x14ac:dyDescent="0.25">
      <c r="A298">
        <v>1309</v>
      </c>
      <c r="B298" t="s">
        <v>348</v>
      </c>
      <c r="C298" t="s">
        <v>31</v>
      </c>
      <c r="D298" t="s">
        <v>140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48</v>
      </c>
      <c r="K298" t="s">
        <v>24</v>
      </c>
      <c r="L298" s="2">
        <v>481.45</v>
      </c>
      <c r="Y298" s="6">
        <f>VLOOKUP(A294,A$1:$L$601,1,FALSE)</f>
        <v>1305</v>
      </c>
      <c r="Z298" s="6" t="str">
        <f>VLOOKUP(B294,B$1:$L$601,1,FALSE)</f>
        <v>Kelsey Stein</v>
      </c>
      <c r="AA298" s="6" t="str">
        <f>VLOOKUP(C294,C$1:$L$601,1,FALSE)</f>
        <v>Jackets</v>
      </c>
      <c r="AB298" s="6" t="str">
        <f>VLOOKUP(D294,D$1:$L$601,1,FALSE)</f>
        <v>Bomber Jacket</v>
      </c>
      <c r="AC298" s="6">
        <f>VLOOKUP(E294,E$1:$L$601,1,FALSE)</f>
        <v>3</v>
      </c>
      <c r="AD298" s="6">
        <f>VLOOKUP(F294,F$1:$L$601,1,FALSE)</f>
        <v>2811.5702272727276</v>
      </c>
      <c r="AE298" s="6">
        <f>VLOOKUP(G294,G$1:$L$601,1,FALSE)</f>
        <v>0.69969696969696993</v>
      </c>
      <c r="AF298" s="6">
        <f>VLOOKUP(H294,H$1:$L$601,1,FALSE)</f>
        <v>0</v>
      </c>
      <c r="AG298" s="6">
        <f>VLOOKUP(I294,I$1:$L$601,1,FALSE)</f>
        <v>45157</v>
      </c>
      <c r="AH298" s="6" t="str">
        <f>VLOOKUP(J294,J$1:$L$601,1,FALSE)</f>
        <v>DELHI</v>
      </c>
      <c r="AI298" s="6" t="str">
        <f>VLOOKUP(K294,K$1:$L$601,1,FALSE)</f>
        <v>B2C</v>
      </c>
      <c r="AJ298" s="6">
        <f>VLOOKUP(L294,L$1:$L$601,1,FALSE)</f>
        <v>2861.3</v>
      </c>
    </row>
    <row r="299" spans="1:36" x14ac:dyDescent="0.25">
      <c r="A299">
        <v>1310</v>
      </c>
      <c r="B299" t="s">
        <v>349</v>
      </c>
      <c r="C299" t="s">
        <v>41</v>
      </c>
      <c r="D299" t="s">
        <v>59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48</v>
      </c>
      <c r="K299" t="s">
        <v>24</v>
      </c>
      <c r="L299" s="2">
        <v>1516.35</v>
      </c>
      <c r="Y299" s="6">
        <f>VLOOKUP(A295,A$1:$L$601,1,FALSE)</f>
        <v>1306</v>
      </c>
      <c r="Z299" s="6" t="str">
        <f>VLOOKUP(B295,B$1:$L$601,1,FALSE)</f>
        <v>Aaron Johnson</v>
      </c>
      <c r="AA299" s="6" t="str">
        <f>VLOOKUP(C295,C$1:$L$601,1,FALSE)</f>
        <v>Accessories</v>
      </c>
      <c r="AB299" s="6" t="str">
        <f>VLOOKUP(D295,D$1:$L$601,1,FALSE)</f>
        <v>Belts</v>
      </c>
      <c r="AC299" s="6">
        <f>VLOOKUP(E295,E$1:$L$601,1,FALSE)</f>
        <v>4</v>
      </c>
      <c r="AD299" s="6">
        <f>VLOOKUP(F295,F$1:$L$601,1,FALSE)</f>
        <v>2706.1301960784322</v>
      </c>
      <c r="AE299" s="6">
        <f>VLOOKUP(G295,G$1:$L$601,1,FALSE)</f>
        <v>0.70297297297297334</v>
      </c>
      <c r="AF299" s="6">
        <f>VLOOKUP(H295,H$1:$L$601,1,FALSE)</f>
        <v>0</v>
      </c>
      <c r="AG299" s="6">
        <f>VLOOKUP(I295,I$1:$L$601,1,FALSE)</f>
        <v>45626.838268792708</v>
      </c>
      <c r="AH299" s="6" t="str">
        <f>VLOOKUP(J295,J$1:$L$601,1,FALSE)</f>
        <v>AHMEDABAD</v>
      </c>
      <c r="AI299" s="6" t="str">
        <f>VLOOKUP(K295,K$1:$L$601,1,FALSE)</f>
        <v>B2C</v>
      </c>
      <c r="AJ299" s="6">
        <f>VLOOKUP(L295,L$1:$L$601,1,FALSE)</f>
        <v>99.1</v>
      </c>
    </row>
    <row r="300" spans="1:36" x14ac:dyDescent="0.25">
      <c r="A300">
        <v>1311</v>
      </c>
      <c r="B300" t="s">
        <v>350</v>
      </c>
      <c r="C300" t="s">
        <v>21</v>
      </c>
      <c r="D300" t="s">
        <v>79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23</v>
      </c>
      <c r="K300" t="s">
        <v>24</v>
      </c>
      <c r="L300" s="2">
        <v>-109.19</v>
      </c>
      <c r="Y300" s="6">
        <f>VLOOKUP(A296,A$1:$L$601,1,FALSE)</f>
        <v>1307</v>
      </c>
      <c r="Z300" s="6" t="str">
        <f>VLOOKUP(B296,B$1:$L$601,1,FALSE)</f>
        <v>Amber Lee</v>
      </c>
      <c r="AA300" s="6" t="str">
        <f>VLOOKUP(C296,C$1:$L$601,1,FALSE)</f>
        <v>Dresses</v>
      </c>
      <c r="AB300" s="6" t="str">
        <f>VLOOKUP(D296,D$1:$L$601,1,FALSE)</f>
        <v>Maxi Dress</v>
      </c>
      <c r="AC300" s="6">
        <f>VLOOKUP(E296,E$1:$L$601,1,FALSE)</f>
        <v>2</v>
      </c>
      <c r="AD300" s="6">
        <f>VLOOKUP(F296,F$1:$L$601,1,FALSE)</f>
        <v>2648.43</v>
      </c>
      <c r="AE300" s="6">
        <f>VLOOKUP(G296,G$1:$L$601,1,FALSE)</f>
        <v>0.55000000000000004</v>
      </c>
      <c r="AF300" s="6">
        <f>VLOOKUP(H296,H$1:$L$601,1,FALSE)</f>
        <v>0</v>
      </c>
      <c r="AG300" s="6">
        <f>VLOOKUP(I296,I$1:$L$601,1,FALSE)</f>
        <v>45512</v>
      </c>
      <c r="AH300" s="6" t="str">
        <f>VLOOKUP(J296,J$1:$L$601,1,FALSE)</f>
        <v>AHMEDABAD</v>
      </c>
      <c r="AI300" s="6" t="str">
        <f>VLOOKUP(K296,K$1:$L$601,1,FALSE)</f>
        <v>B2B</v>
      </c>
      <c r="AJ300" s="6">
        <f>VLOOKUP(L296,L$1:$L$601,1,FALSE)</f>
        <v>642</v>
      </c>
    </row>
    <row r="301" spans="1:36" x14ac:dyDescent="0.25">
      <c r="A301">
        <v>1312</v>
      </c>
      <c r="B301" t="s">
        <v>351</v>
      </c>
      <c r="C301" t="s">
        <v>31</v>
      </c>
      <c r="D301" t="s">
        <v>44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48</v>
      </c>
      <c r="K301" t="s">
        <v>24</v>
      </c>
      <c r="L301" s="2">
        <v>-646.16</v>
      </c>
      <c r="Y301" s="6">
        <f>VLOOKUP(A297,A$1:$L$601,1,FALSE)</f>
        <v>1308</v>
      </c>
      <c r="Z301" s="6" t="str">
        <f>VLOOKUP(B297,B$1:$L$601,1,FALSE)</f>
        <v>Michael Joseph</v>
      </c>
      <c r="AA301" s="6" t="str">
        <f>VLOOKUP(C297,C$1:$L$601,1,FALSE)</f>
        <v>Dresses</v>
      </c>
      <c r="AB301" s="6" t="str">
        <f>VLOOKUP(D297,D$1:$L$601,1,FALSE)</f>
        <v>Bodycon</v>
      </c>
      <c r="AC301" s="6">
        <f>VLOOKUP(E297,E$1:$L$601,1,FALSE)</f>
        <v>2</v>
      </c>
      <c r="AD301" s="6">
        <f>VLOOKUP(F297,F$1:$L$601,1,FALSE)</f>
        <v>4203.62</v>
      </c>
      <c r="AE301" s="6">
        <f>VLOOKUP(G297,G$1:$L$601,1,FALSE)</f>
        <v>0.55000000000000004</v>
      </c>
      <c r="AF301" s="6">
        <f>VLOOKUP(H297,H$1:$L$601,1,FALSE)</f>
        <v>0</v>
      </c>
      <c r="AG301" s="6">
        <f>VLOOKUP(I297,I$1:$L$601,1,FALSE)</f>
        <v>45755</v>
      </c>
      <c r="AH301" s="6" t="str">
        <f>VLOOKUP(J297,J$1:$L$601,1,FALSE)</f>
        <v>MUMBAI</v>
      </c>
      <c r="AI301" s="6" t="str">
        <f>VLOOKUP(K297,K$1:$L$601,1,FALSE)</f>
        <v>B2B</v>
      </c>
      <c r="AJ301" s="6">
        <f>VLOOKUP(L297,L$1:$L$601,1,FALSE)</f>
        <v>464.65</v>
      </c>
    </row>
    <row r="302" spans="1:36" x14ac:dyDescent="0.25">
      <c r="A302">
        <v>1313</v>
      </c>
      <c r="B302" t="s">
        <v>352</v>
      </c>
      <c r="C302" t="s">
        <v>31</v>
      </c>
      <c r="D302" t="s">
        <v>119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48</v>
      </c>
      <c r="K302" t="s">
        <v>16</v>
      </c>
      <c r="L302" s="2">
        <v>-581.35</v>
      </c>
      <c r="Y302" s="6">
        <f>VLOOKUP(A298,A$1:$L$601,1,FALSE)</f>
        <v>1309</v>
      </c>
      <c r="Z302" s="6" t="str">
        <f>VLOOKUP(B298,B$1:$L$601,1,FALSE)</f>
        <v>Tina Brown</v>
      </c>
      <c r="AA302" s="6" t="str">
        <f>VLOOKUP(C298,C$1:$L$601,1,FALSE)</f>
        <v>Accessories</v>
      </c>
      <c r="AB302" s="6" t="str">
        <f>VLOOKUP(D298,D$1:$L$601,1,FALSE)</f>
        <v>Caps</v>
      </c>
      <c r="AC302" s="6">
        <f>VLOOKUP(E298,E$1:$L$601,1,FALSE)</f>
        <v>2.4893617021276597</v>
      </c>
      <c r="AD302" s="6">
        <f>VLOOKUP(F298,F$1:$L$601,1,FALSE)</f>
        <v>2706.1301960784322</v>
      </c>
      <c r="AE302" s="6">
        <f>VLOOKUP(G298,G$1:$L$601,1,FALSE)</f>
        <v>0.70297297297297334</v>
      </c>
      <c r="AF302" s="6">
        <f>VLOOKUP(H298,H$1:$L$601,1,FALSE)</f>
        <v>0</v>
      </c>
      <c r="AG302" s="6">
        <f>VLOOKUP(I298,I$1:$L$601,1,FALSE)</f>
        <v>45719</v>
      </c>
      <c r="AH302" s="6" t="str">
        <f>VLOOKUP(J298,J$1:$L$601,1,FALSE)</f>
        <v>PUNE</v>
      </c>
      <c r="AI302" s="6" t="str">
        <f>VLOOKUP(K298,K$1:$L$601,1,FALSE)</f>
        <v>B2B</v>
      </c>
      <c r="AJ302" s="6">
        <f>VLOOKUP(L298,L$1:$L$601,1,FALSE)</f>
        <v>481.45</v>
      </c>
    </row>
    <row r="303" spans="1:36" x14ac:dyDescent="0.25">
      <c r="A303">
        <v>1314</v>
      </c>
      <c r="B303" t="s">
        <v>353</v>
      </c>
      <c r="C303" t="s">
        <v>27</v>
      </c>
      <c r="D303" t="s">
        <v>65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33</v>
      </c>
      <c r="K303" t="s">
        <v>16</v>
      </c>
      <c r="L303" s="2">
        <v>1148.06</v>
      </c>
      <c r="Y303" s="6">
        <f>VLOOKUP(A299,A$1:$L$601,1,FALSE)</f>
        <v>1310</v>
      </c>
      <c r="Z303" s="6" t="str">
        <f>VLOOKUP(B299,B$1:$L$601,1,FALSE)</f>
        <v>Thomas Smith</v>
      </c>
      <c r="AA303" s="6" t="str">
        <f>VLOOKUP(C299,C$1:$L$601,1,FALSE)</f>
        <v>Dresses</v>
      </c>
      <c r="AB303" s="6" t="str">
        <f>VLOOKUP(D299,D$1:$L$601,1,FALSE)</f>
        <v>Maxi Dress</v>
      </c>
      <c r="AC303" s="6">
        <f>VLOOKUP(E299,E$1:$L$601,1,FALSE)</f>
        <v>2.1864406779661016</v>
      </c>
      <c r="AD303" s="6">
        <f>VLOOKUP(F299,F$1:$L$601,1,FALSE)</f>
        <v>2949.9901960784309</v>
      </c>
      <c r="AE303" s="6">
        <f>VLOOKUP(G299,G$1:$L$601,1,FALSE)</f>
        <v>0.55000000000000004</v>
      </c>
      <c r="AF303" s="6">
        <f>VLOOKUP(H299,H$1:$L$601,1,FALSE)</f>
        <v>0</v>
      </c>
      <c r="AG303" s="6">
        <f>VLOOKUP(I299,I$1:$L$601,1,FALSE)</f>
        <v>45750</v>
      </c>
      <c r="AH303" s="6" t="str">
        <f>VLOOKUP(J299,J$1:$L$601,1,FALSE)</f>
        <v>PUNE</v>
      </c>
      <c r="AI303" s="6" t="str">
        <f>VLOOKUP(K299,K$1:$L$601,1,FALSE)</f>
        <v>B2B</v>
      </c>
      <c r="AJ303" s="6">
        <f>VLOOKUP(L299,L$1:$L$601,1,FALSE)</f>
        <v>1516.35</v>
      </c>
    </row>
    <row r="304" spans="1:36" x14ac:dyDescent="0.25">
      <c r="A304">
        <v>1315</v>
      </c>
      <c r="B304" t="s">
        <v>354</v>
      </c>
      <c r="C304" t="s">
        <v>13</v>
      </c>
      <c r="D304" t="s">
        <v>39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29</v>
      </c>
      <c r="K304" t="s">
        <v>16</v>
      </c>
      <c r="L304" s="2">
        <v>-279.01</v>
      </c>
      <c r="Y304" s="6">
        <f>VLOOKUP(A300,A$1:$L$601,1,FALSE)</f>
        <v>1311</v>
      </c>
      <c r="Z304" s="6" t="str">
        <f>VLOOKUP(B300,B$1:$L$601,1,FALSE)</f>
        <v>Jennifer Watson</v>
      </c>
      <c r="AA304" s="6" t="str">
        <f>VLOOKUP(C300,C$1:$L$601,1,FALSE)</f>
        <v>Jackets</v>
      </c>
      <c r="AB304" s="6" t="str">
        <f>VLOOKUP(D300,D$1:$L$601,1,FALSE)</f>
        <v>Bomber Jacket</v>
      </c>
      <c r="AC304" s="6">
        <f>VLOOKUP(E300,E$1:$L$601,1,FALSE)</f>
        <v>3</v>
      </c>
      <c r="AD304" s="6">
        <f>VLOOKUP(F300,F$1:$L$601,1,FALSE)</f>
        <v>2811.5702272727276</v>
      </c>
      <c r="AE304" s="6">
        <f>VLOOKUP(G300,G$1:$L$601,1,FALSE)</f>
        <v>0.13</v>
      </c>
      <c r="AF304" s="6">
        <f>VLOOKUP(H300,H$1:$L$601,1,FALSE)</f>
        <v>0</v>
      </c>
      <c r="AG304" s="6">
        <f>VLOOKUP(I300,I$1:$L$601,1,FALSE)</f>
        <v>45272</v>
      </c>
      <c r="AH304" s="6" t="str">
        <f>VLOOKUP(J300,J$1:$L$601,1,FALSE)</f>
        <v>MUMBAI</v>
      </c>
      <c r="AI304" s="6" t="str">
        <f>VLOOKUP(K300,K$1:$L$601,1,FALSE)</f>
        <v>B2B</v>
      </c>
      <c r="AJ304" s="6">
        <f>VLOOKUP(L300,L$1:$L$601,1,FALSE)</f>
        <v>-109.19</v>
      </c>
    </row>
    <row r="305" spans="1:36" x14ac:dyDescent="0.25">
      <c r="A305">
        <v>1316</v>
      </c>
      <c r="B305" t="s">
        <v>355</v>
      </c>
      <c r="C305" t="s">
        <v>36</v>
      </c>
      <c r="D305" t="s">
        <v>37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48</v>
      </c>
      <c r="K305" t="s">
        <v>16</v>
      </c>
      <c r="L305" s="2">
        <v>-177.6</v>
      </c>
      <c r="Y305" s="6">
        <f>VLOOKUP(A301,A$1:$L$601,1,FALSE)</f>
        <v>1312</v>
      </c>
      <c r="Z305" s="6" t="str">
        <f>VLOOKUP(B301,B$1:$L$601,1,FALSE)</f>
        <v>Wendy Garcia</v>
      </c>
      <c r="AA305" s="6" t="str">
        <f>VLOOKUP(C301,C$1:$L$601,1,FALSE)</f>
        <v>Accessories</v>
      </c>
      <c r="AB305" s="6" t="str">
        <f>VLOOKUP(D301,D$1:$L$601,1,FALSE)</f>
        <v>Sunglasses</v>
      </c>
      <c r="AC305" s="6">
        <f>VLOOKUP(E301,E$1:$L$601,1,FALSE)</f>
        <v>2.4893617021276597</v>
      </c>
      <c r="AD305" s="6">
        <f>VLOOKUP(F301,F$1:$L$601,1,FALSE)</f>
        <v>2706.1301960784322</v>
      </c>
      <c r="AE305" s="6">
        <f>VLOOKUP(G301,G$1:$L$601,1,FALSE)</f>
        <v>0.70297297297297334</v>
      </c>
      <c r="AF305" s="6">
        <f>VLOOKUP(H301,H$1:$L$601,1,FALSE)</f>
        <v>0</v>
      </c>
      <c r="AG305" s="6">
        <f>VLOOKUP(I301,I$1:$L$601,1,FALSE)</f>
        <v>45806</v>
      </c>
      <c r="AH305" s="6" t="str">
        <f>VLOOKUP(J301,J$1:$L$601,1,FALSE)</f>
        <v>PUNE</v>
      </c>
      <c r="AI305" s="6" t="str">
        <f>VLOOKUP(K301,K$1:$L$601,1,FALSE)</f>
        <v>B2B</v>
      </c>
      <c r="AJ305" s="6">
        <f>VLOOKUP(L301,L$1:$L$601,1,FALSE)</f>
        <v>-646.16</v>
      </c>
    </row>
    <row r="306" spans="1:36" x14ac:dyDescent="0.25">
      <c r="A306">
        <v>1317</v>
      </c>
      <c r="B306" t="s">
        <v>356</v>
      </c>
      <c r="C306" t="s">
        <v>31</v>
      </c>
      <c r="D306" t="s">
        <v>119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23</v>
      </c>
      <c r="K306" t="s">
        <v>24</v>
      </c>
      <c r="L306" s="2">
        <v>-476.45</v>
      </c>
      <c r="Y306" s="6">
        <f>VLOOKUP(A302,A$1:$L$601,1,FALSE)</f>
        <v>1313</v>
      </c>
      <c r="Z306" s="6" t="str">
        <f>VLOOKUP(B302,B$1:$L$601,1,FALSE)</f>
        <v>Sean Pope</v>
      </c>
      <c r="AA306" s="6" t="str">
        <f>VLOOKUP(C302,C$1:$L$601,1,FALSE)</f>
        <v>Accessories</v>
      </c>
      <c r="AB306" s="6" t="str">
        <f>VLOOKUP(D302,D$1:$L$601,1,FALSE)</f>
        <v>Watches</v>
      </c>
      <c r="AC306" s="6">
        <f>VLOOKUP(E302,E$1:$L$601,1,FALSE)</f>
        <v>2.4893617021276597</v>
      </c>
      <c r="AD306" s="6">
        <f>VLOOKUP(F302,F$1:$L$601,1,FALSE)</f>
        <v>4763.45</v>
      </c>
      <c r="AE306" s="6">
        <f>VLOOKUP(G302,G$1:$L$601,1,FALSE)</f>
        <v>0.96</v>
      </c>
      <c r="AF306" s="6">
        <f>VLOOKUP(H302,H$1:$L$601,1,FALSE)</f>
        <v>0</v>
      </c>
      <c r="AG306" s="6">
        <f>VLOOKUP(I302,I$1:$L$601,1,FALSE)</f>
        <v>45284</v>
      </c>
      <c r="AH306" s="6" t="str">
        <f>VLOOKUP(J302,J$1:$L$601,1,FALSE)</f>
        <v>PUNE</v>
      </c>
      <c r="AI306" s="6" t="str">
        <f>VLOOKUP(K302,K$1:$L$601,1,FALSE)</f>
        <v>B2C</v>
      </c>
      <c r="AJ306" s="6">
        <f>VLOOKUP(L302,L$1:$L$601,1,FALSE)</f>
        <v>-581.35</v>
      </c>
    </row>
    <row r="307" spans="1:36" x14ac:dyDescent="0.25">
      <c r="A307">
        <v>1318</v>
      </c>
      <c r="B307" t="s">
        <v>357</v>
      </c>
      <c r="C307" t="s">
        <v>31</v>
      </c>
      <c r="D307" t="s">
        <v>32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48</v>
      </c>
      <c r="K307" t="s">
        <v>16</v>
      </c>
      <c r="L307" s="2">
        <v>1830.14</v>
      </c>
      <c r="Y307" s="6">
        <f>VLOOKUP(A303,A$1:$L$601,1,FALSE)</f>
        <v>1314</v>
      </c>
      <c r="Z307" s="6" t="str">
        <f>VLOOKUP(B303,B$1:$L$601,1,FALSE)</f>
        <v>Brad Mccarty</v>
      </c>
      <c r="AA307" s="6" t="str">
        <f>VLOOKUP(C303,C$1:$L$601,1,FALSE)</f>
        <v>Shoes</v>
      </c>
      <c r="AB307" s="6" t="str">
        <f>VLOOKUP(D303,D$1:$L$601,1,FALSE)</f>
        <v>Slip-Ons</v>
      </c>
      <c r="AC307" s="6">
        <f>VLOOKUP(E303,E$1:$L$601,1,FALSE)</f>
        <v>1.5178571428571428</v>
      </c>
      <c r="AD307" s="6">
        <f>VLOOKUP(F303,F$1:$L$601,1,FALSE)</f>
        <v>2557.4251351351354</v>
      </c>
      <c r="AE307" s="6">
        <f>VLOOKUP(G303,G$1:$L$601,1,FALSE)</f>
        <v>0.59740740740740739</v>
      </c>
      <c r="AF307" s="6">
        <f>VLOOKUP(H303,H$1:$L$601,1,FALSE)</f>
        <v>0</v>
      </c>
      <c r="AG307" s="6">
        <f>VLOOKUP(I303,I$1:$L$601,1,FALSE)</f>
        <v>45626</v>
      </c>
      <c r="AH307" s="6" t="str">
        <f>VLOOKUP(J303,J$1:$L$601,1,FALSE)</f>
        <v>HYDERBAD</v>
      </c>
      <c r="AI307" s="6" t="str">
        <f>VLOOKUP(K303,K$1:$L$601,1,FALSE)</f>
        <v>B2C</v>
      </c>
      <c r="AJ307" s="6">
        <f>VLOOKUP(L303,L$1:$L$601,1,FALSE)</f>
        <v>1148.06</v>
      </c>
    </row>
    <row r="308" spans="1:36" x14ac:dyDescent="0.25">
      <c r="A308">
        <v>1319</v>
      </c>
      <c r="B308" t="s">
        <v>358</v>
      </c>
      <c r="C308" t="s">
        <v>41</v>
      </c>
      <c r="D308" t="s">
        <v>90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19</v>
      </c>
      <c r="K308" t="s">
        <v>16</v>
      </c>
      <c r="L308" s="2">
        <v>-66.17</v>
      </c>
      <c r="Y308" s="6">
        <f>VLOOKUP(A304,A$1:$L$601,1,FALSE)</f>
        <v>1315</v>
      </c>
      <c r="Z308" s="6" t="str">
        <f>VLOOKUP(B304,B$1:$L$601,1,FALSE)</f>
        <v>Mark Gonzales</v>
      </c>
      <c r="AA308" s="6" t="str">
        <f>VLOOKUP(C304,C$1:$L$601,1,FALSE)</f>
        <v>Jeans</v>
      </c>
      <c r="AB308" s="6" t="str">
        <f>VLOOKUP(D304,D$1:$L$601,1,FALSE)</f>
        <v>Boyfriend Jeans</v>
      </c>
      <c r="AC308" s="6">
        <f>VLOOKUP(E304,E$1:$L$601,1,FALSE)</f>
        <v>1.5178571428571428</v>
      </c>
      <c r="AD308" s="6">
        <f>VLOOKUP(F304,F$1:$L$601,1,FALSE)</f>
        <v>515.04</v>
      </c>
      <c r="AE308" s="6">
        <f>VLOOKUP(G304,G$1:$L$601,1,FALSE)</f>
        <v>0.58977272727272723</v>
      </c>
      <c r="AF308" s="6">
        <f>VLOOKUP(H304,H$1:$L$601,1,FALSE)</f>
        <v>0</v>
      </c>
      <c r="AG308" s="6">
        <f>VLOOKUP(I304,I$1:$L$601,1,FALSE)</f>
        <v>45473</v>
      </c>
      <c r="AH308" s="6" t="str">
        <f>VLOOKUP(J304,J$1:$L$601,1,FALSE)</f>
        <v>BANGALORE</v>
      </c>
      <c r="AI308" s="6" t="str">
        <f>VLOOKUP(K304,K$1:$L$601,1,FALSE)</f>
        <v>B2C</v>
      </c>
      <c r="AJ308" s="6">
        <f>VLOOKUP(L304,L$1:$L$601,1,FALSE)</f>
        <v>-279.01</v>
      </c>
    </row>
    <row r="309" spans="1:36" x14ac:dyDescent="0.25">
      <c r="A309">
        <v>1320</v>
      </c>
      <c r="B309" t="s">
        <v>359</v>
      </c>
      <c r="C309" t="s">
        <v>31</v>
      </c>
      <c r="D309" t="s">
        <v>32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24</v>
      </c>
      <c r="L309" s="2">
        <v>2011.4</v>
      </c>
      <c r="Y309" s="6">
        <f>VLOOKUP(A305,A$1:$L$601,1,FALSE)</f>
        <v>1316</v>
      </c>
      <c r="Z309" s="6" t="str">
        <f>VLOOKUP(B305,B$1:$L$601,1,FALSE)</f>
        <v>Theresa Wiggins</v>
      </c>
      <c r="AA309" s="6" t="str">
        <f>VLOOKUP(C305,C$1:$L$601,1,FALSE)</f>
        <v>T-Shirts</v>
      </c>
      <c r="AB309" s="6" t="str">
        <f>VLOOKUP(D305,D$1:$L$601,1,FALSE)</f>
        <v>Crop Top</v>
      </c>
      <c r="AC309" s="6">
        <f>VLOOKUP(E305,E$1:$L$601,1,FALSE)</f>
        <v>1.5178571428571428</v>
      </c>
      <c r="AD309" s="6">
        <f>VLOOKUP(F305,F$1:$L$601,1,FALSE)</f>
        <v>1345.98</v>
      </c>
      <c r="AE309" s="6">
        <f>VLOOKUP(G305,G$1:$L$601,1,FALSE)</f>
        <v>0.65787878787878773</v>
      </c>
      <c r="AF309" s="6">
        <f>VLOOKUP(H305,H$1:$L$601,1,FALSE)</f>
        <v>0</v>
      </c>
      <c r="AG309" s="6">
        <f>VLOOKUP(I305,I$1:$L$601,1,FALSE)</f>
        <v>45769</v>
      </c>
      <c r="AH309" s="6" t="str">
        <f>VLOOKUP(J305,J$1:$L$601,1,FALSE)</f>
        <v>PUNE</v>
      </c>
      <c r="AI309" s="6" t="str">
        <f>VLOOKUP(K305,K$1:$L$601,1,FALSE)</f>
        <v>B2C</v>
      </c>
      <c r="AJ309" s="6">
        <f>VLOOKUP(L305,L$1:$L$601,1,FALSE)</f>
        <v>-177.6</v>
      </c>
    </row>
    <row r="310" spans="1:36" x14ac:dyDescent="0.25">
      <c r="A310">
        <v>1321</v>
      </c>
      <c r="B310" t="s">
        <v>360</v>
      </c>
      <c r="C310" t="s">
        <v>21</v>
      </c>
      <c r="D310" t="s">
        <v>121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  <c r="Y310" s="6">
        <f>VLOOKUP(A306,A$1:$L$601,1,FALSE)</f>
        <v>1317</v>
      </c>
      <c r="Z310" s="6" t="str">
        <f>VLOOKUP(B306,B$1:$L$601,1,FALSE)</f>
        <v>Mitchell Gomez</v>
      </c>
      <c r="AA310" s="6" t="str">
        <f>VLOOKUP(C306,C$1:$L$601,1,FALSE)</f>
        <v>Accessories</v>
      </c>
      <c r="AB310" s="6" t="str">
        <f>VLOOKUP(D306,D$1:$L$601,1,FALSE)</f>
        <v>Watches</v>
      </c>
      <c r="AC310" s="6">
        <f>VLOOKUP(E306,E$1:$L$601,1,FALSE)</f>
        <v>0</v>
      </c>
      <c r="AD310" s="6">
        <f>VLOOKUP(F306,F$1:$L$601,1,FALSE)</f>
        <v>2706.1301960784322</v>
      </c>
      <c r="AE310" s="6">
        <f>VLOOKUP(G306,G$1:$L$601,1,FALSE)</f>
        <v>0.70297297297297334</v>
      </c>
      <c r="AF310" s="6">
        <f>VLOOKUP(H306,H$1:$L$601,1,FALSE)</f>
        <v>0</v>
      </c>
      <c r="AG310" s="6">
        <f>VLOOKUP(I306,I$1:$L$601,1,FALSE)</f>
        <v>45508</v>
      </c>
      <c r="AH310" s="6" t="str">
        <f>VLOOKUP(J306,J$1:$L$601,1,FALSE)</f>
        <v>MUMBAI</v>
      </c>
      <c r="AI310" s="6" t="str">
        <f>VLOOKUP(K306,K$1:$L$601,1,FALSE)</f>
        <v>B2B</v>
      </c>
      <c r="AJ310" s="6">
        <f>VLOOKUP(L306,L$1:$L$601,1,FALSE)</f>
        <v>-476.45</v>
      </c>
    </row>
    <row r="311" spans="1:36" x14ac:dyDescent="0.25">
      <c r="A311">
        <v>1322</v>
      </c>
      <c r="B311" t="s">
        <v>361</v>
      </c>
      <c r="C311" t="s">
        <v>36</v>
      </c>
      <c r="D311" t="s">
        <v>71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  <c r="Y311" s="6">
        <f>VLOOKUP(A307,A$1:$L$601,1,FALSE)</f>
        <v>1318</v>
      </c>
      <c r="Z311" s="6" t="str">
        <f>VLOOKUP(B307,B$1:$L$601,1,FALSE)</f>
        <v>Tony Reynolds</v>
      </c>
      <c r="AA311" s="6" t="str">
        <f>VLOOKUP(C307,C$1:$L$601,1,FALSE)</f>
        <v>Accessories</v>
      </c>
      <c r="AB311" s="6" t="str">
        <f>VLOOKUP(D307,D$1:$L$601,1,FALSE)</f>
        <v>Belts</v>
      </c>
      <c r="AC311" s="6">
        <f>VLOOKUP(E307,E$1:$L$601,1,FALSE)</f>
        <v>3</v>
      </c>
      <c r="AD311" s="6">
        <f>VLOOKUP(F307,F$1:$L$601,1,FALSE)</f>
        <v>2706.1301960784322</v>
      </c>
      <c r="AE311" s="6">
        <f>VLOOKUP(G307,G$1:$L$601,1,FALSE)</f>
        <v>0.70297297297297334</v>
      </c>
      <c r="AF311" s="6">
        <f>VLOOKUP(H307,H$1:$L$601,1,FALSE)</f>
        <v>0</v>
      </c>
      <c r="AG311" s="6">
        <f>VLOOKUP(I307,I$1:$L$601,1,FALSE)</f>
        <v>45626.838268792708</v>
      </c>
      <c r="AH311" s="6" t="str">
        <f>VLOOKUP(J307,J$1:$L$601,1,FALSE)</f>
        <v>PUNE</v>
      </c>
      <c r="AI311" s="6" t="str">
        <f>VLOOKUP(K307,K$1:$L$601,1,FALSE)</f>
        <v>B2C</v>
      </c>
      <c r="AJ311" s="6">
        <f>VLOOKUP(L307,L$1:$L$601,1,FALSE)</f>
        <v>1830.14</v>
      </c>
    </row>
    <row r="312" spans="1:36" x14ac:dyDescent="0.25">
      <c r="A312">
        <v>1323</v>
      </c>
      <c r="B312" t="s">
        <v>362</v>
      </c>
      <c r="C312" t="s">
        <v>21</v>
      </c>
      <c r="D312" t="s">
        <v>22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48</v>
      </c>
      <c r="K312" t="s">
        <v>16</v>
      </c>
      <c r="L312" s="2">
        <v>-96.6</v>
      </c>
      <c r="Y312" s="6">
        <f>VLOOKUP(A308,A$1:$L$601,1,FALSE)</f>
        <v>1319</v>
      </c>
      <c r="Z312" s="6" t="str">
        <f>VLOOKUP(B308,B$1:$L$601,1,FALSE)</f>
        <v>Kristine Byrd</v>
      </c>
      <c r="AA312" s="6" t="str">
        <f>VLOOKUP(C308,C$1:$L$601,1,FALSE)</f>
        <v>Dresses</v>
      </c>
      <c r="AB312" s="6" t="str">
        <f>VLOOKUP(D308,D$1:$L$601,1,FALSE)</f>
        <v>Bodycon</v>
      </c>
      <c r="AC312" s="6">
        <f>VLOOKUP(E308,E$1:$L$601,1,FALSE)</f>
        <v>0</v>
      </c>
      <c r="AD312" s="6">
        <f>VLOOKUP(F308,F$1:$L$601,1,FALSE)</f>
        <v>2949.9901960784309</v>
      </c>
      <c r="AE312" s="6">
        <f>VLOOKUP(G308,G$1:$L$601,1,FALSE)</f>
        <v>0.55000000000000004</v>
      </c>
      <c r="AF312" s="6">
        <f>VLOOKUP(H308,H$1:$L$601,1,FALSE)</f>
        <v>0</v>
      </c>
      <c r="AG312" s="6">
        <f>VLOOKUP(I308,I$1:$L$601,1,FALSE)</f>
        <v>45358</v>
      </c>
      <c r="AH312" s="6" t="str">
        <f>VLOOKUP(J308,J$1:$L$601,1,FALSE)</f>
        <v>AHMEDABAD</v>
      </c>
      <c r="AI312" s="6" t="str">
        <f>VLOOKUP(K308,K$1:$L$601,1,FALSE)</f>
        <v>B2C</v>
      </c>
      <c r="AJ312" s="6">
        <f>VLOOKUP(L308,L$1:$L$601,1,FALSE)</f>
        <v>-66.17</v>
      </c>
    </row>
    <row r="313" spans="1:36" x14ac:dyDescent="0.25">
      <c r="A313">
        <v>1324</v>
      </c>
      <c r="B313" t="s">
        <v>363</v>
      </c>
      <c r="C313" t="s">
        <v>21</v>
      </c>
      <c r="D313" t="s">
        <v>79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23</v>
      </c>
      <c r="K313" t="s">
        <v>16</v>
      </c>
      <c r="L313" s="2">
        <v>-610.52</v>
      </c>
      <c r="Y313" s="6">
        <f>VLOOKUP(A309,A$1:$L$601,1,FALSE)</f>
        <v>1320</v>
      </c>
      <c r="Z313" s="6" t="str">
        <f>VLOOKUP(B309,B$1:$L$601,1,FALSE)</f>
        <v>Mark Murray</v>
      </c>
      <c r="AA313" s="6" t="str">
        <f>VLOOKUP(C309,C$1:$L$601,1,FALSE)</f>
        <v>Accessories</v>
      </c>
      <c r="AB313" s="6" t="str">
        <f>VLOOKUP(D309,D$1:$L$601,1,FALSE)</f>
        <v>Belts</v>
      </c>
      <c r="AC313" s="6">
        <f>VLOOKUP(E309,E$1:$L$601,1,FALSE)</f>
        <v>4</v>
      </c>
      <c r="AD313" s="6">
        <f>VLOOKUP(F309,F$1:$L$601,1,FALSE)</f>
        <v>2706.1301960784322</v>
      </c>
      <c r="AE313" s="6">
        <f>VLOOKUP(G309,G$1:$L$601,1,FALSE)</f>
        <v>0.70297297297297334</v>
      </c>
      <c r="AF313" s="6">
        <f>VLOOKUP(H309,H$1:$L$601,1,FALSE)</f>
        <v>0</v>
      </c>
      <c r="AG313" s="6">
        <f>VLOOKUP(I309,I$1:$L$601,1,FALSE)</f>
        <v>45626.838268792708</v>
      </c>
      <c r="AH313" s="6" t="str">
        <f>VLOOKUP(J309,J$1:$L$601,1,FALSE)</f>
        <v>DELHI</v>
      </c>
      <c r="AI313" s="6" t="str">
        <f>VLOOKUP(K309,K$1:$L$601,1,FALSE)</f>
        <v>B2B</v>
      </c>
      <c r="AJ313" s="6">
        <f>VLOOKUP(L309,L$1:$L$601,1,FALSE)</f>
        <v>2011.4</v>
      </c>
    </row>
    <row r="314" spans="1:36" x14ac:dyDescent="0.25">
      <c r="A314">
        <v>1325</v>
      </c>
      <c r="B314" t="s">
        <v>364</v>
      </c>
      <c r="C314" t="s">
        <v>13</v>
      </c>
      <c r="D314" t="s">
        <v>101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29</v>
      </c>
      <c r="K314" t="s">
        <v>16</v>
      </c>
      <c r="L314" s="2">
        <v>1435.03</v>
      </c>
      <c r="Y314" s="6">
        <f>VLOOKUP(A310,A$1:$L$601,1,FALSE)</f>
        <v>1321</v>
      </c>
      <c r="Z314" s="6" t="str">
        <f>VLOOKUP(B310,B$1:$L$601,1,FALSE)</f>
        <v>Michael Velazquez</v>
      </c>
      <c r="AA314" s="6" t="str">
        <f>VLOOKUP(C310,C$1:$L$601,1,FALSE)</f>
        <v>Jackets</v>
      </c>
      <c r="AB314" s="6" t="str">
        <f>VLOOKUP(D310,D$1:$L$601,1,FALSE)</f>
        <v>Leather Jacket</v>
      </c>
      <c r="AC314" s="6">
        <f>VLOOKUP(E310,E$1:$L$601,1,FALSE)</f>
        <v>3</v>
      </c>
      <c r="AD314" s="6">
        <f>VLOOKUP(F310,F$1:$L$601,1,FALSE)</f>
        <v>2811.5702272727276</v>
      </c>
      <c r="AE314" s="6">
        <f>VLOOKUP(G310,G$1:$L$601,1,FALSE)</f>
        <v>1.0200000000000001E-2</v>
      </c>
      <c r="AF314" s="6">
        <f>VLOOKUP(H310,H$1:$L$601,1,FALSE)</f>
        <v>0</v>
      </c>
      <c r="AG314" s="6">
        <f>VLOOKUP(I310,I$1:$L$601,1,FALSE)</f>
        <v>45561</v>
      </c>
      <c r="AH314" s="6" t="str">
        <f>VLOOKUP(J310,J$1:$L$601,1,FALSE)</f>
        <v>DELHI</v>
      </c>
      <c r="AI314" s="6" t="str">
        <f>VLOOKUP(K310,K$1:$L$601,1,FALSE)</f>
        <v>B2C</v>
      </c>
      <c r="AJ314" s="6">
        <f>VLOOKUP(L310,L$1:$L$601,1,FALSE)</f>
        <v>632.23</v>
      </c>
    </row>
    <row r="315" spans="1:36" x14ac:dyDescent="0.25">
      <c r="A315">
        <v>1326</v>
      </c>
      <c r="B315" t="s">
        <v>365</v>
      </c>
      <c r="C315" t="s">
        <v>41</v>
      </c>
      <c r="D315" t="s">
        <v>42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23</v>
      </c>
      <c r="K315" t="s">
        <v>16</v>
      </c>
      <c r="L315" s="2">
        <v>1404.45</v>
      </c>
      <c r="Y315" s="6">
        <f>VLOOKUP(A311,A$1:$L$601,1,FALSE)</f>
        <v>1322</v>
      </c>
      <c r="Z315" s="6" t="str">
        <f>VLOOKUP(B311,B$1:$L$601,1,FALSE)</f>
        <v>Lori Benson</v>
      </c>
      <c r="AA315" s="6" t="str">
        <f>VLOOKUP(C311,C$1:$L$601,1,FALSE)</f>
        <v>T-Shirts</v>
      </c>
      <c r="AB315" s="6" t="str">
        <f>VLOOKUP(D311,D$1:$L$601,1,FALSE)</f>
        <v>Classic Tee</v>
      </c>
      <c r="AC315" s="6">
        <f>VLOOKUP(E311,E$1:$L$601,1,FALSE)</f>
        <v>1.5178571428571428</v>
      </c>
      <c r="AD315" s="6">
        <f>VLOOKUP(F311,F$1:$L$601,1,FALSE)</f>
        <v>2387.61</v>
      </c>
      <c r="AE315" s="6">
        <f>VLOOKUP(G311,G$1:$L$601,1,FALSE)</f>
        <v>0.65787878787878773</v>
      </c>
      <c r="AF315" s="6">
        <f>VLOOKUP(H311,H$1:$L$601,1,FALSE)</f>
        <v>0</v>
      </c>
      <c r="AG315" s="6">
        <f>VLOOKUP(I311,I$1:$L$601,1,FALSE)</f>
        <v>45628</v>
      </c>
      <c r="AH315" s="6" t="str">
        <f>VLOOKUP(J311,J$1:$L$601,1,FALSE)</f>
        <v>DELHI</v>
      </c>
      <c r="AI315" s="6" t="str">
        <f>VLOOKUP(K311,K$1:$L$601,1,FALSE)</f>
        <v>B2C</v>
      </c>
      <c r="AJ315" s="6">
        <f>VLOOKUP(L311,L$1:$L$601,1,FALSE)</f>
        <v>822.46</v>
      </c>
    </row>
    <row r="316" spans="1:36" x14ac:dyDescent="0.25">
      <c r="A316">
        <v>1327</v>
      </c>
      <c r="B316" t="s">
        <v>366</v>
      </c>
      <c r="C316" t="s">
        <v>27</v>
      </c>
      <c r="D316" t="s">
        <v>65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23</v>
      </c>
      <c r="K316" t="s">
        <v>16</v>
      </c>
      <c r="L316" s="2">
        <v>2021.54</v>
      </c>
      <c r="Y316" s="6">
        <f>VLOOKUP(A312,A$1:$L$601,1,FALSE)</f>
        <v>1323</v>
      </c>
      <c r="Z316" s="6" t="str">
        <f>VLOOKUP(B312,B$1:$L$601,1,FALSE)</f>
        <v>Kimberly Flores</v>
      </c>
      <c r="AA316" s="6" t="str">
        <f>VLOOKUP(C312,C$1:$L$601,1,FALSE)</f>
        <v>Jackets</v>
      </c>
      <c r="AB316" s="6" t="str">
        <f>VLOOKUP(D312,D$1:$L$601,1,FALSE)</f>
        <v>Puffer Coat</v>
      </c>
      <c r="AC316" s="6">
        <f>VLOOKUP(E312,E$1:$L$601,1,FALSE)</f>
        <v>1.8076923076923077</v>
      </c>
      <c r="AD316" s="6">
        <f>VLOOKUP(F312,F$1:$L$601,1,FALSE)</f>
        <v>2811.5702272727276</v>
      </c>
      <c r="AE316" s="6">
        <f>VLOOKUP(G312,G$1:$L$601,1,FALSE)</f>
        <v>1.1200000000000002E-2</v>
      </c>
      <c r="AF316" s="6">
        <f>VLOOKUP(H312,H$1:$L$601,1,FALSE)</f>
        <v>0</v>
      </c>
      <c r="AG316" s="6">
        <f>VLOOKUP(I312,I$1:$L$601,1,FALSE)</f>
        <v>45412</v>
      </c>
      <c r="AH316" s="6" t="str">
        <f>VLOOKUP(J312,J$1:$L$601,1,FALSE)</f>
        <v>PUNE</v>
      </c>
      <c r="AI316" s="6" t="str">
        <f>VLOOKUP(K312,K$1:$L$601,1,FALSE)</f>
        <v>B2C</v>
      </c>
      <c r="AJ316" s="6">
        <f>VLOOKUP(L312,L$1:$L$601,1,FALSE)</f>
        <v>-96.6</v>
      </c>
    </row>
    <row r="317" spans="1:36" x14ac:dyDescent="0.25">
      <c r="A317">
        <v>1328</v>
      </c>
      <c r="B317" t="s">
        <v>367</v>
      </c>
      <c r="C317" t="s">
        <v>27</v>
      </c>
      <c r="D317" t="s">
        <v>85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48</v>
      </c>
      <c r="K317" t="s">
        <v>24</v>
      </c>
      <c r="L317" s="2">
        <v>2269.54</v>
      </c>
      <c r="Y317" s="6">
        <f>VLOOKUP(A313,A$1:$L$601,1,FALSE)</f>
        <v>1324</v>
      </c>
      <c r="Z317" s="6" t="str">
        <f>VLOOKUP(B313,B$1:$L$601,1,FALSE)</f>
        <v>Mike Rhodes</v>
      </c>
      <c r="AA317" s="6" t="str">
        <f>VLOOKUP(C313,C$1:$L$601,1,FALSE)</f>
        <v>Jackets</v>
      </c>
      <c r="AB317" s="6" t="str">
        <f>VLOOKUP(D313,D$1:$L$601,1,FALSE)</f>
        <v>Bomber Jacket</v>
      </c>
      <c r="AC317" s="6">
        <f>VLOOKUP(E313,E$1:$L$601,1,FALSE)</f>
        <v>1.8076923076923077</v>
      </c>
      <c r="AD317" s="6">
        <f>VLOOKUP(F313,F$1:$L$601,1,FALSE)</f>
        <v>2811.5702272727276</v>
      </c>
      <c r="AE317" s="6">
        <f>VLOOKUP(G313,G$1:$L$601,1,FALSE)</f>
        <v>0.69969696969696993</v>
      </c>
      <c r="AF317" s="6">
        <f>VLOOKUP(H313,H$1:$L$601,1,FALSE)</f>
        <v>0</v>
      </c>
      <c r="AG317" s="6">
        <f>VLOOKUP(I313,I$1:$L$601,1,FALSE)</f>
        <v>45638</v>
      </c>
      <c r="AH317" s="6" t="str">
        <f>VLOOKUP(J313,J$1:$L$601,1,FALSE)</f>
        <v>MUMBAI</v>
      </c>
      <c r="AI317" s="6" t="str">
        <f>VLOOKUP(K313,K$1:$L$601,1,FALSE)</f>
        <v>B2C</v>
      </c>
      <c r="AJ317" s="6">
        <f>VLOOKUP(L313,L$1:$L$601,1,FALSE)</f>
        <v>-610.52</v>
      </c>
    </row>
    <row r="318" spans="1:36" x14ac:dyDescent="0.25">
      <c r="A318">
        <v>1329</v>
      </c>
      <c r="B318" t="s">
        <v>368</v>
      </c>
      <c r="C318" t="s">
        <v>36</v>
      </c>
      <c r="D318" t="s">
        <v>81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33</v>
      </c>
      <c r="K318" t="s">
        <v>16</v>
      </c>
      <c r="L318" s="2">
        <v>1667.02</v>
      </c>
      <c r="Y318" s="6">
        <f>VLOOKUP(A314,A$1:$L$601,1,FALSE)</f>
        <v>1325</v>
      </c>
      <c r="Z318" s="6" t="str">
        <f>VLOOKUP(B314,B$1:$L$601,1,FALSE)</f>
        <v>Teresa Gilbert</v>
      </c>
      <c r="AA318" s="6" t="str">
        <f>VLOOKUP(C314,C$1:$L$601,1,FALSE)</f>
        <v>Jeans</v>
      </c>
      <c r="AB318" s="6" t="str">
        <f>VLOOKUP(D314,D$1:$L$601,1,FALSE)</f>
        <v>Ripped Denim</v>
      </c>
      <c r="AC318" s="6">
        <f>VLOOKUP(E314,E$1:$L$601,1,FALSE)</f>
        <v>2.1052631578947367</v>
      </c>
      <c r="AD318" s="6">
        <f>VLOOKUP(F314,F$1:$L$601,1,FALSE)</f>
        <v>1315.93</v>
      </c>
      <c r="AE318" s="6">
        <f>VLOOKUP(G314,G$1:$L$601,1,FALSE)</f>
        <v>0.58977272727272723</v>
      </c>
      <c r="AF318" s="6">
        <f>VLOOKUP(H314,H$1:$L$601,1,FALSE)</f>
        <v>0</v>
      </c>
      <c r="AG318" s="6">
        <f>VLOOKUP(I314,I$1:$L$601,1,FALSE)</f>
        <v>45844</v>
      </c>
      <c r="AH318" s="6" t="str">
        <f>VLOOKUP(J314,J$1:$L$601,1,FALSE)</f>
        <v>BANGALORE</v>
      </c>
      <c r="AI318" s="6" t="str">
        <f>VLOOKUP(K314,K$1:$L$601,1,FALSE)</f>
        <v>B2C</v>
      </c>
      <c r="AJ318" s="6">
        <f>VLOOKUP(L314,L$1:$L$601,1,FALSE)</f>
        <v>1435.03</v>
      </c>
    </row>
    <row r="319" spans="1:36" x14ac:dyDescent="0.25">
      <c r="A319">
        <v>1330</v>
      </c>
      <c r="B319" t="s">
        <v>369</v>
      </c>
      <c r="C319" t="s">
        <v>41</v>
      </c>
      <c r="D319" t="s">
        <v>59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19</v>
      </c>
      <c r="K319" t="s">
        <v>16</v>
      </c>
      <c r="L319" s="2">
        <v>-587.38</v>
      </c>
      <c r="Y319" s="6">
        <f>VLOOKUP(A315,A$1:$L$601,1,FALSE)</f>
        <v>1326</v>
      </c>
      <c r="Z319" s="6" t="str">
        <f>VLOOKUP(B315,B$1:$L$601,1,FALSE)</f>
        <v>Theodore Sanchez</v>
      </c>
      <c r="AA319" s="6" t="str">
        <f>VLOOKUP(C315,C$1:$L$601,1,FALSE)</f>
        <v>Dresses</v>
      </c>
      <c r="AB319" s="6" t="str">
        <f>VLOOKUP(D315,D$1:$L$601,1,FALSE)</f>
        <v>Casual Midi</v>
      </c>
      <c r="AC319" s="6">
        <f>VLOOKUP(E315,E$1:$L$601,1,FALSE)</f>
        <v>2.1864406779661016</v>
      </c>
      <c r="AD319" s="6">
        <f>VLOOKUP(F315,F$1:$L$601,1,FALSE)</f>
        <v>4104.3599999999997</v>
      </c>
      <c r="AE319" s="6">
        <f>VLOOKUP(G315,G$1:$L$601,1,FALSE)</f>
        <v>1.11E-2</v>
      </c>
      <c r="AF319" s="6">
        <f>VLOOKUP(H315,H$1:$L$601,1,FALSE)</f>
        <v>0</v>
      </c>
      <c r="AG319" s="6">
        <f>VLOOKUP(I315,I$1:$L$601,1,FALSE)</f>
        <v>45648</v>
      </c>
      <c r="AH319" s="6" t="str">
        <f>VLOOKUP(J315,J$1:$L$601,1,FALSE)</f>
        <v>MUMBAI</v>
      </c>
      <c r="AI319" s="6" t="str">
        <f>VLOOKUP(K315,K$1:$L$601,1,FALSE)</f>
        <v>B2C</v>
      </c>
      <c r="AJ319" s="6">
        <f>VLOOKUP(L315,L$1:$L$601,1,FALSE)</f>
        <v>1404.45</v>
      </c>
    </row>
    <row r="320" spans="1:36" x14ac:dyDescent="0.25">
      <c r="A320">
        <v>1331</v>
      </c>
      <c r="B320" t="s">
        <v>370</v>
      </c>
      <c r="C320" t="s">
        <v>31</v>
      </c>
      <c r="D320" t="s">
        <v>32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29</v>
      </c>
      <c r="K320" t="s">
        <v>16</v>
      </c>
      <c r="L320" s="2">
        <v>1301.18</v>
      </c>
      <c r="Y320" s="6">
        <f>VLOOKUP(A316,A$1:$L$601,1,FALSE)</f>
        <v>1327</v>
      </c>
      <c r="Z320" s="6" t="str">
        <f>VLOOKUP(B316,B$1:$L$601,1,FALSE)</f>
        <v>Sarah Sosa</v>
      </c>
      <c r="AA320" s="6" t="str">
        <f>VLOOKUP(C316,C$1:$L$601,1,FALSE)</f>
        <v>Shoes</v>
      </c>
      <c r="AB320" s="6" t="str">
        <f>VLOOKUP(D316,D$1:$L$601,1,FALSE)</f>
        <v>Slip-Ons</v>
      </c>
      <c r="AC320" s="6">
        <f>VLOOKUP(E316,E$1:$L$601,1,FALSE)</f>
        <v>1.6216216216216217</v>
      </c>
      <c r="AD320" s="6">
        <f>VLOOKUP(F316,F$1:$L$601,1,FALSE)</f>
        <v>2964.44</v>
      </c>
      <c r="AE320" s="6">
        <f>VLOOKUP(G316,G$1:$L$601,1,FALSE)</f>
        <v>0.59740740740740739</v>
      </c>
      <c r="AF320" s="6">
        <f>VLOOKUP(H316,H$1:$L$601,1,FALSE)</f>
        <v>0</v>
      </c>
      <c r="AG320" s="6">
        <f>VLOOKUP(I316,I$1:$L$601,1,FALSE)</f>
        <v>45144</v>
      </c>
      <c r="AH320" s="6" t="str">
        <f>VLOOKUP(J316,J$1:$L$601,1,FALSE)</f>
        <v>MUMBAI</v>
      </c>
      <c r="AI320" s="6" t="str">
        <f>VLOOKUP(K316,K$1:$L$601,1,FALSE)</f>
        <v>B2C</v>
      </c>
      <c r="AJ320" s="6">
        <f>VLOOKUP(L316,L$1:$L$601,1,FALSE)</f>
        <v>2021.54</v>
      </c>
    </row>
    <row r="321" spans="1:36" x14ac:dyDescent="0.25">
      <c r="A321">
        <v>1332</v>
      </c>
      <c r="B321" t="s">
        <v>371</v>
      </c>
      <c r="C321" t="s">
        <v>36</v>
      </c>
      <c r="D321" t="s">
        <v>81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23</v>
      </c>
      <c r="K321" t="s">
        <v>16</v>
      </c>
      <c r="L321" s="2">
        <v>2301.09</v>
      </c>
      <c r="Y321" s="6">
        <f>VLOOKUP(A317,A$1:$L$601,1,FALSE)</f>
        <v>1328</v>
      </c>
      <c r="Z321" s="6" t="str">
        <f>VLOOKUP(B317,B$1:$L$601,1,FALSE)</f>
        <v>Christine Drake</v>
      </c>
      <c r="AA321" s="6" t="str">
        <f>VLOOKUP(C317,C$1:$L$601,1,FALSE)</f>
        <v>Shoes</v>
      </c>
      <c r="AB321" s="6" t="str">
        <f>VLOOKUP(D317,D$1:$L$601,1,FALSE)</f>
        <v>Boots</v>
      </c>
      <c r="AC321" s="6">
        <f>VLOOKUP(E317,E$1:$L$601,1,FALSE)</f>
        <v>4</v>
      </c>
      <c r="AD321" s="6">
        <f>VLOOKUP(F317,F$1:$L$601,1,FALSE)</f>
        <v>3250.24</v>
      </c>
      <c r="AE321" s="6">
        <f>VLOOKUP(G317,G$1:$L$601,1,FALSE)</f>
        <v>0.56000000000000005</v>
      </c>
      <c r="AF321" s="6">
        <f>VLOOKUP(H317,H$1:$L$601,1,FALSE)</f>
        <v>5720.42</v>
      </c>
      <c r="AG321" s="6">
        <f>VLOOKUP(I317,I$1:$L$601,1,FALSE)</f>
        <v>45804</v>
      </c>
      <c r="AH321" s="6" t="str">
        <f>VLOOKUP(J317,J$1:$L$601,1,FALSE)</f>
        <v>PUNE</v>
      </c>
      <c r="AI321" s="6" t="str">
        <f>VLOOKUP(K317,K$1:$L$601,1,FALSE)</f>
        <v>B2B</v>
      </c>
      <c r="AJ321" s="6">
        <f>VLOOKUP(L317,L$1:$L$601,1,FALSE)</f>
        <v>2269.54</v>
      </c>
    </row>
    <row r="322" spans="1:36" x14ac:dyDescent="0.25">
      <c r="A322">
        <v>1334</v>
      </c>
      <c r="B322" t="s">
        <v>372</v>
      </c>
      <c r="C322" t="s">
        <v>41</v>
      </c>
      <c r="D322" t="s">
        <v>59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  <c r="Y322" s="6">
        <f>VLOOKUP(A318,A$1:$L$601,1,FALSE)</f>
        <v>1329</v>
      </c>
      <c r="Z322" s="6" t="str">
        <f>VLOOKUP(B318,B$1:$L$601,1,FALSE)</f>
        <v>Eric Medina</v>
      </c>
      <c r="AA322" s="6" t="str">
        <f>VLOOKUP(C318,C$1:$L$601,1,FALSE)</f>
        <v>T-Shirts</v>
      </c>
      <c r="AB322" s="6" t="str">
        <f>VLOOKUP(D318,D$1:$L$601,1,FALSE)</f>
        <v>Graphic Tee</v>
      </c>
      <c r="AC322" s="6">
        <f>VLOOKUP(E318,E$1:$L$601,1,FALSE)</f>
        <v>1</v>
      </c>
      <c r="AD322" s="6">
        <f>VLOOKUP(F318,F$1:$L$601,1,FALSE)</f>
        <v>2587.7800000000002</v>
      </c>
      <c r="AE322" s="6">
        <f>VLOOKUP(G318,G$1:$L$601,1,FALSE)</f>
        <v>0.65787878787878773</v>
      </c>
      <c r="AF322" s="6">
        <f>VLOOKUP(H318,H$1:$L$601,1,FALSE)</f>
        <v>0</v>
      </c>
      <c r="AG322" s="6">
        <f>VLOOKUP(I318,I$1:$L$601,1,FALSE)</f>
        <v>45285</v>
      </c>
      <c r="AH322" s="6" t="str">
        <f>VLOOKUP(J318,J$1:$L$601,1,FALSE)</f>
        <v>HYDERBAD</v>
      </c>
      <c r="AI322" s="6" t="str">
        <f>VLOOKUP(K318,K$1:$L$601,1,FALSE)</f>
        <v>B2C</v>
      </c>
      <c r="AJ322" s="6">
        <f>VLOOKUP(L318,L$1:$L$601,1,FALSE)</f>
        <v>1667.02</v>
      </c>
    </row>
    <row r="323" spans="1:36" x14ac:dyDescent="0.25">
      <c r="A323">
        <v>1335</v>
      </c>
      <c r="B323" t="s">
        <v>373</v>
      </c>
      <c r="C323" t="s">
        <v>27</v>
      </c>
      <c r="D323" t="s">
        <v>65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33</v>
      </c>
      <c r="K323" t="s">
        <v>16</v>
      </c>
      <c r="L323" s="2">
        <v>-815.88</v>
      </c>
      <c r="Y323" s="6">
        <f>VLOOKUP(A319,A$1:$L$601,1,FALSE)</f>
        <v>1330</v>
      </c>
      <c r="Z323" s="6" t="str">
        <f>VLOOKUP(B319,B$1:$L$601,1,FALSE)</f>
        <v>Joseph Sims</v>
      </c>
      <c r="AA323" s="6" t="str">
        <f>VLOOKUP(C319,C$1:$L$601,1,FALSE)</f>
        <v>Dresses</v>
      </c>
      <c r="AB323" s="6" t="str">
        <f>VLOOKUP(D319,D$1:$L$601,1,FALSE)</f>
        <v>Maxi Dress</v>
      </c>
      <c r="AC323" s="6">
        <f>VLOOKUP(E319,E$1:$L$601,1,FALSE)</f>
        <v>1.5178571428571428</v>
      </c>
      <c r="AD323" s="6">
        <f>VLOOKUP(F319,F$1:$L$601,1,FALSE)</f>
        <v>2949.9901960784309</v>
      </c>
      <c r="AE323" s="6">
        <f>VLOOKUP(G319,G$1:$L$601,1,FALSE)</f>
        <v>0.55000000000000004</v>
      </c>
      <c r="AF323" s="6">
        <f>VLOOKUP(H319,H$1:$L$601,1,FALSE)</f>
        <v>0</v>
      </c>
      <c r="AG323" s="6">
        <f>VLOOKUP(I319,I$1:$L$601,1,FALSE)</f>
        <v>45656</v>
      </c>
      <c r="AH323" s="6" t="str">
        <f>VLOOKUP(J319,J$1:$L$601,1,FALSE)</f>
        <v>AHMEDABAD</v>
      </c>
      <c r="AI323" s="6" t="str">
        <f>VLOOKUP(K319,K$1:$L$601,1,FALSE)</f>
        <v>B2C</v>
      </c>
      <c r="AJ323" s="6">
        <f>VLOOKUP(L319,L$1:$L$601,1,FALSE)</f>
        <v>-587.38</v>
      </c>
    </row>
    <row r="324" spans="1:36" x14ac:dyDescent="0.25">
      <c r="A324">
        <v>1336</v>
      </c>
      <c r="B324" t="s">
        <v>374</v>
      </c>
      <c r="C324" t="s">
        <v>21</v>
      </c>
      <c r="D324" t="s">
        <v>87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24</v>
      </c>
      <c r="L324" s="2">
        <v>2000.91</v>
      </c>
      <c r="Y324" s="6">
        <f>VLOOKUP(A320,A$1:$L$601,1,FALSE)</f>
        <v>1331</v>
      </c>
      <c r="Z324" s="6" t="str">
        <f>VLOOKUP(B320,B$1:$L$601,1,FALSE)</f>
        <v>Gwendolyn Guerrero</v>
      </c>
      <c r="AA324" s="6" t="str">
        <f>VLOOKUP(C320,C$1:$L$601,1,FALSE)</f>
        <v>Accessories</v>
      </c>
      <c r="AB324" s="6" t="str">
        <f>VLOOKUP(D320,D$1:$L$601,1,FALSE)</f>
        <v>Belts</v>
      </c>
      <c r="AC324" s="6">
        <f>VLOOKUP(E320,E$1:$L$601,1,FALSE)</f>
        <v>6</v>
      </c>
      <c r="AD324" s="6">
        <f>VLOOKUP(F320,F$1:$L$601,1,FALSE)</f>
        <v>2706.1301960784322</v>
      </c>
      <c r="AE324" s="6">
        <f>VLOOKUP(G320,G$1:$L$601,1,FALSE)</f>
        <v>0.70297297297297334</v>
      </c>
      <c r="AF324" s="6">
        <f>VLOOKUP(H320,H$1:$L$601,1,FALSE)</f>
        <v>0</v>
      </c>
      <c r="AG324" s="6">
        <f>VLOOKUP(I320,I$1:$L$601,1,FALSE)</f>
        <v>45682</v>
      </c>
      <c r="AH324" s="6" t="str">
        <f>VLOOKUP(J320,J$1:$L$601,1,FALSE)</f>
        <v>BANGALORE</v>
      </c>
      <c r="AI324" s="6" t="str">
        <f>VLOOKUP(K320,K$1:$L$601,1,FALSE)</f>
        <v>B2C</v>
      </c>
      <c r="AJ324" s="6">
        <f>VLOOKUP(L320,L$1:$L$601,1,FALSE)</f>
        <v>1301.18</v>
      </c>
    </row>
    <row r="325" spans="1:36" x14ac:dyDescent="0.25">
      <c r="A325">
        <v>1337</v>
      </c>
      <c r="B325" t="s">
        <v>375</v>
      </c>
      <c r="C325" t="s">
        <v>21</v>
      </c>
      <c r="D325" t="s">
        <v>87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33</v>
      </c>
      <c r="K325" t="s">
        <v>16</v>
      </c>
      <c r="L325" s="2">
        <v>716.16</v>
      </c>
      <c r="Y325" s="6">
        <f>VLOOKUP(A321,A$1:$L$601,1,FALSE)</f>
        <v>1332</v>
      </c>
      <c r="Z325" s="6" t="str">
        <f>VLOOKUP(B321,B$1:$L$601,1,FALSE)</f>
        <v>Chelsea Brown</v>
      </c>
      <c r="AA325" s="6" t="str">
        <f>VLOOKUP(C321,C$1:$L$601,1,FALSE)</f>
        <v>T-Shirts</v>
      </c>
      <c r="AB325" s="6" t="str">
        <f>VLOOKUP(D321,D$1:$L$601,1,FALSE)</f>
        <v>Graphic Tee</v>
      </c>
      <c r="AC325" s="6">
        <f>VLOOKUP(E321,E$1:$L$601,1,FALSE)</f>
        <v>1.5178571428571428</v>
      </c>
      <c r="AD325" s="6">
        <f>VLOOKUP(F321,F$1:$L$601,1,FALSE)</f>
        <v>2742.2927659574466</v>
      </c>
      <c r="AE325" s="6">
        <f>VLOOKUP(G321,G$1:$L$601,1,FALSE)</f>
        <v>0</v>
      </c>
      <c r="AF325" s="6">
        <f>VLOOKUP(H321,H$1:$L$601,1,FALSE)</f>
        <v>0</v>
      </c>
      <c r="AG325" s="6">
        <f>VLOOKUP(I321,I$1:$L$601,1,FALSE)</f>
        <v>45788</v>
      </c>
      <c r="AH325" s="6" t="str">
        <f>VLOOKUP(J321,J$1:$L$601,1,FALSE)</f>
        <v>MUMBAI</v>
      </c>
      <c r="AI325" s="6" t="str">
        <f>VLOOKUP(K321,K$1:$L$601,1,FALSE)</f>
        <v>B2C</v>
      </c>
      <c r="AJ325" s="6">
        <f>VLOOKUP(L321,L$1:$L$601,1,FALSE)</f>
        <v>2301.09</v>
      </c>
    </row>
    <row r="326" spans="1:36" x14ac:dyDescent="0.25">
      <c r="A326">
        <v>1338</v>
      </c>
      <c r="B326" t="s">
        <v>376</v>
      </c>
      <c r="C326" t="s">
        <v>36</v>
      </c>
      <c r="D326" t="s">
        <v>81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19</v>
      </c>
      <c r="K326" t="s">
        <v>24</v>
      </c>
      <c r="L326" s="2">
        <v>415.06</v>
      </c>
      <c r="Y326" s="6">
        <f>VLOOKUP(A322,A$1:$L$601,1,FALSE)</f>
        <v>1334</v>
      </c>
      <c r="Z326" s="6" t="str">
        <f>VLOOKUP(B322,B$1:$L$601,1,FALSE)</f>
        <v>Russell Douglas</v>
      </c>
      <c r="AA326" s="6" t="str">
        <f>VLOOKUP(C322,C$1:$L$601,1,FALSE)</f>
        <v>Dresses</v>
      </c>
      <c r="AB326" s="6" t="str">
        <f>VLOOKUP(D322,D$1:$L$601,1,FALSE)</f>
        <v>Maxi Dress</v>
      </c>
      <c r="AC326" s="6">
        <f>VLOOKUP(E322,E$1:$L$601,1,FALSE)</f>
        <v>6</v>
      </c>
      <c r="AD326" s="6">
        <f>VLOOKUP(F322,F$1:$L$601,1,FALSE)</f>
        <v>1454.69</v>
      </c>
      <c r="AE326" s="6">
        <f>VLOOKUP(G322,G$1:$L$601,1,FALSE)</f>
        <v>0.55000000000000004</v>
      </c>
      <c r="AF326" s="6">
        <f>VLOOKUP(H322,H$1:$L$601,1,FALSE)</f>
        <v>0</v>
      </c>
      <c r="AG326" s="6">
        <f>VLOOKUP(I322,I$1:$L$601,1,FALSE)</f>
        <v>45814</v>
      </c>
      <c r="AH326" s="6" t="str">
        <f>VLOOKUP(J322,J$1:$L$601,1,FALSE)</f>
        <v>DELHI</v>
      </c>
      <c r="AI326" s="6" t="str">
        <f>VLOOKUP(K322,K$1:$L$601,1,FALSE)</f>
        <v>B2C</v>
      </c>
      <c r="AJ326" s="6">
        <f>VLOOKUP(L322,L$1:$L$601,1,FALSE)</f>
        <v>652.87</v>
      </c>
    </row>
    <row r="327" spans="1:36" x14ac:dyDescent="0.25">
      <c r="A327">
        <v>1339</v>
      </c>
      <c r="B327" t="s">
        <v>377</v>
      </c>
      <c r="C327" t="s">
        <v>41</v>
      </c>
      <c r="D327" t="s">
        <v>59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29</v>
      </c>
      <c r="K327" t="s">
        <v>16</v>
      </c>
      <c r="L327" s="2">
        <v>2552.65</v>
      </c>
      <c r="Y327" s="6">
        <f>VLOOKUP(A323,A$1:$L$601,1,FALSE)</f>
        <v>1335</v>
      </c>
      <c r="Z327" s="6" t="str">
        <f>VLOOKUP(B323,B$1:$L$601,1,FALSE)</f>
        <v>Kristen Drake</v>
      </c>
      <c r="AA327" s="6" t="str">
        <f>VLOOKUP(C323,C$1:$L$601,1,FALSE)</f>
        <v>Shoes</v>
      </c>
      <c r="AB327" s="6" t="str">
        <f>VLOOKUP(D323,D$1:$L$601,1,FALSE)</f>
        <v>Slip-Ons</v>
      </c>
      <c r="AC327" s="6">
        <f>VLOOKUP(E323,E$1:$L$601,1,FALSE)</f>
        <v>5</v>
      </c>
      <c r="AD327" s="6">
        <f>VLOOKUP(F323,F$1:$L$601,1,FALSE)</f>
        <v>2557.4251351351354</v>
      </c>
      <c r="AE327" s="6">
        <f>VLOOKUP(G323,G$1:$L$601,1,FALSE)</f>
        <v>0.59740740740740739</v>
      </c>
      <c r="AF327" s="6">
        <f>VLOOKUP(H323,H$1:$L$601,1,FALSE)</f>
        <v>0</v>
      </c>
      <c r="AG327" s="6">
        <f>VLOOKUP(I323,I$1:$L$601,1,FALSE)</f>
        <v>45772</v>
      </c>
      <c r="AH327" s="6" t="str">
        <f>VLOOKUP(J323,J$1:$L$601,1,FALSE)</f>
        <v>HYDERBAD</v>
      </c>
      <c r="AI327" s="6" t="str">
        <f>VLOOKUP(K323,K$1:$L$601,1,FALSE)</f>
        <v>B2C</v>
      </c>
      <c r="AJ327" s="6">
        <f>VLOOKUP(L323,L$1:$L$601,1,FALSE)</f>
        <v>-815.88</v>
      </c>
    </row>
    <row r="328" spans="1:36" x14ac:dyDescent="0.25">
      <c r="A328">
        <v>1340</v>
      </c>
      <c r="B328" t="s">
        <v>378</v>
      </c>
      <c r="C328" t="s">
        <v>13</v>
      </c>
      <c r="D328" t="s">
        <v>51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23</v>
      </c>
      <c r="K328" t="s">
        <v>16</v>
      </c>
      <c r="L328" s="2">
        <v>1282.27</v>
      </c>
      <c r="Y328" s="6">
        <f>VLOOKUP(A324,A$1:$L$601,1,FALSE)</f>
        <v>1336</v>
      </c>
      <c r="Z328" s="6" t="str">
        <f>VLOOKUP(B324,B$1:$L$601,1,FALSE)</f>
        <v>Katie Brown</v>
      </c>
      <c r="AA328" s="6" t="str">
        <f>VLOOKUP(C324,C$1:$L$601,1,FALSE)</f>
        <v>Jackets</v>
      </c>
      <c r="AB328" s="6" t="str">
        <f>VLOOKUP(D324,D$1:$L$601,1,FALSE)</f>
        <v>Denim Jacket</v>
      </c>
      <c r="AC328" s="6">
        <f>VLOOKUP(E324,E$1:$L$601,1,FALSE)</f>
        <v>1.8076923076923077</v>
      </c>
      <c r="AD328" s="6">
        <f>VLOOKUP(F324,F$1:$L$601,1,FALSE)</f>
        <v>2811.5702272727276</v>
      </c>
      <c r="AE328" s="6">
        <f>VLOOKUP(G324,G$1:$L$601,1,FALSE)</f>
        <v>0.69969696969696993</v>
      </c>
      <c r="AF328" s="6">
        <f>VLOOKUP(H324,H$1:$L$601,1,FALSE)</f>
        <v>0</v>
      </c>
      <c r="AG328" s="6">
        <f>VLOOKUP(I324,I$1:$L$601,1,FALSE)</f>
        <v>45626.838268792708</v>
      </c>
      <c r="AH328" s="6" t="str">
        <f>VLOOKUP(J324,J$1:$L$601,1,FALSE)</f>
        <v>DELHI</v>
      </c>
      <c r="AI328" s="6" t="str">
        <f>VLOOKUP(K324,K$1:$L$601,1,FALSE)</f>
        <v>B2B</v>
      </c>
      <c r="AJ328" s="6">
        <f>VLOOKUP(L324,L$1:$L$601,1,FALSE)</f>
        <v>2000.91</v>
      </c>
    </row>
    <row r="329" spans="1:36" x14ac:dyDescent="0.25">
      <c r="A329">
        <v>1341</v>
      </c>
      <c r="B329" t="s">
        <v>379</v>
      </c>
      <c r="C329" t="s">
        <v>27</v>
      </c>
      <c r="D329" t="s">
        <v>65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19</v>
      </c>
      <c r="K329" t="s">
        <v>16</v>
      </c>
      <c r="L329" s="2">
        <v>2634.42</v>
      </c>
      <c r="Y329" s="6">
        <f>VLOOKUP(A325,A$1:$L$601,1,FALSE)</f>
        <v>1337</v>
      </c>
      <c r="Z329" s="6" t="str">
        <f>VLOOKUP(B325,B$1:$L$601,1,FALSE)</f>
        <v>Michelle Russell</v>
      </c>
      <c r="AA329" s="6" t="str">
        <f>VLOOKUP(C325,C$1:$L$601,1,FALSE)</f>
        <v>Jackets</v>
      </c>
      <c r="AB329" s="6" t="str">
        <f>VLOOKUP(D325,D$1:$L$601,1,FALSE)</f>
        <v>Denim Jacket</v>
      </c>
      <c r="AC329" s="6">
        <f>VLOOKUP(E325,E$1:$L$601,1,FALSE)</f>
        <v>6</v>
      </c>
      <c r="AD329" s="6">
        <f>VLOOKUP(F325,F$1:$L$601,1,FALSE)</f>
        <v>2286.6799999999998</v>
      </c>
      <c r="AE329" s="6">
        <f>VLOOKUP(G325,G$1:$L$601,1,FALSE)</f>
        <v>1.2699999999999999E-2</v>
      </c>
      <c r="AF329" s="6">
        <f>VLOOKUP(H325,H$1:$L$601,1,FALSE)</f>
        <v>-3704.42</v>
      </c>
      <c r="AG329" s="6">
        <f>VLOOKUP(I325,I$1:$L$601,1,FALSE)</f>
        <v>45595</v>
      </c>
      <c r="AH329" s="6" t="str">
        <f>VLOOKUP(J325,J$1:$L$601,1,FALSE)</f>
        <v>HYDERBAD</v>
      </c>
      <c r="AI329" s="6" t="str">
        <f>VLOOKUP(K325,K$1:$L$601,1,FALSE)</f>
        <v>B2C</v>
      </c>
      <c r="AJ329" s="6">
        <f>VLOOKUP(L325,L$1:$L$601,1,FALSE)</f>
        <v>716.16</v>
      </c>
    </row>
    <row r="330" spans="1:36" x14ac:dyDescent="0.25">
      <c r="A330">
        <v>1342</v>
      </c>
      <c r="B330" t="s">
        <v>380</v>
      </c>
      <c r="C330" t="s">
        <v>41</v>
      </c>
      <c r="D330" t="s">
        <v>63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48</v>
      </c>
      <c r="K330" t="s">
        <v>24</v>
      </c>
      <c r="L330" s="2">
        <v>1395.82</v>
      </c>
      <c r="Y330" s="6">
        <f>VLOOKUP(A326,A$1:$L$601,1,FALSE)</f>
        <v>1338</v>
      </c>
      <c r="Z330" s="6" t="str">
        <f>VLOOKUP(B326,B$1:$L$601,1,FALSE)</f>
        <v>Charles Aguilar</v>
      </c>
      <c r="AA330" s="6" t="str">
        <f>VLOOKUP(C326,C$1:$L$601,1,FALSE)</f>
        <v>T-Shirts</v>
      </c>
      <c r="AB330" s="6" t="str">
        <f>VLOOKUP(D326,D$1:$L$601,1,FALSE)</f>
        <v>Graphic Tee</v>
      </c>
      <c r="AC330" s="6">
        <f>VLOOKUP(E326,E$1:$L$601,1,FALSE)</f>
        <v>0</v>
      </c>
      <c r="AD330" s="6">
        <f>VLOOKUP(F326,F$1:$L$601,1,FALSE)</f>
        <v>2742.2927659574466</v>
      </c>
      <c r="AE330" s="6">
        <f>VLOOKUP(G326,G$1:$L$601,1,FALSE)</f>
        <v>0.65787878787878773</v>
      </c>
      <c r="AF330" s="6">
        <f>VLOOKUP(H326,H$1:$L$601,1,FALSE)</f>
        <v>0</v>
      </c>
      <c r="AG330" s="6">
        <f>VLOOKUP(I326,I$1:$L$601,1,FALSE)</f>
        <v>45617</v>
      </c>
      <c r="AH330" s="6" t="str">
        <f>VLOOKUP(J326,J$1:$L$601,1,FALSE)</f>
        <v>AHMEDABAD</v>
      </c>
      <c r="AI330" s="6" t="str">
        <f>VLOOKUP(K326,K$1:$L$601,1,FALSE)</f>
        <v>B2B</v>
      </c>
      <c r="AJ330" s="6">
        <f>VLOOKUP(L326,L$1:$L$601,1,FALSE)</f>
        <v>415.06</v>
      </c>
    </row>
    <row r="331" spans="1:36" x14ac:dyDescent="0.25">
      <c r="A331">
        <v>1343</v>
      </c>
      <c r="B331" t="s">
        <v>381</v>
      </c>
      <c r="C331" t="s">
        <v>13</v>
      </c>
      <c r="D331" t="s">
        <v>101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23</v>
      </c>
      <c r="K331" t="s">
        <v>16</v>
      </c>
      <c r="L331" s="2">
        <v>730.98</v>
      </c>
      <c r="Y331" s="6">
        <f>VLOOKUP(A327,A$1:$L$601,1,FALSE)</f>
        <v>1339</v>
      </c>
      <c r="Z331" s="6" t="str">
        <f>VLOOKUP(B327,B$1:$L$601,1,FALSE)</f>
        <v>Emily Christensen</v>
      </c>
      <c r="AA331" s="6" t="str">
        <f>VLOOKUP(C327,C$1:$L$601,1,FALSE)</f>
        <v>Dresses</v>
      </c>
      <c r="AB331" s="6" t="str">
        <f>VLOOKUP(D327,D$1:$L$601,1,FALSE)</f>
        <v>Maxi Dress</v>
      </c>
      <c r="AC331" s="6">
        <f>VLOOKUP(E327,E$1:$L$601,1,FALSE)</f>
        <v>2.1864406779661016</v>
      </c>
      <c r="AD331" s="6">
        <f>VLOOKUP(F327,F$1:$L$601,1,FALSE)</f>
        <v>4507.5</v>
      </c>
      <c r="AE331" s="6">
        <f>VLOOKUP(G327,G$1:$L$601,1,FALSE)</f>
        <v>0.55000000000000004</v>
      </c>
      <c r="AF331" s="6">
        <f>VLOOKUP(H327,H$1:$L$601,1,FALSE)</f>
        <v>0</v>
      </c>
      <c r="AG331" s="6">
        <f>VLOOKUP(I327,I$1:$L$601,1,FALSE)</f>
        <v>45839</v>
      </c>
      <c r="AH331" s="6" t="str">
        <f>VLOOKUP(J327,J$1:$L$601,1,FALSE)</f>
        <v>BANGALORE</v>
      </c>
      <c r="AI331" s="6" t="str">
        <f>VLOOKUP(K327,K$1:$L$601,1,FALSE)</f>
        <v>B2C</v>
      </c>
      <c r="AJ331" s="6">
        <f>VLOOKUP(L327,L$1:$L$601,1,FALSE)</f>
        <v>2552.65</v>
      </c>
    </row>
    <row r="332" spans="1:36" x14ac:dyDescent="0.25">
      <c r="A332">
        <v>1344</v>
      </c>
      <c r="B332" t="s">
        <v>382</v>
      </c>
      <c r="C332" t="s">
        <v>13</v>
      </c>
      <c r="D332" t="s">
        <v>51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23</v>
      </c>
      <c r="K332" t="s">
        <v>16</v>
      </c>
      <c r="L332" s="2">
        <v>2006.17</v>
      </c>
      <c r="Y332" s="6">
        <f>VLOOKUP(A328,A$1:$L$601,1,FALSE)</f>
        <v>1340</v>
      </c>
      <c r="Z332" s="6" t="str">
        <f>VLOOKUP(B328,B$1:$L$601,1,FALSE)</f>
        <v>Annette Robinson</v>
      </c>
      <c r="AA332" s="6" t="str">
        <f>VLOOKUP(C328,C$1:$L$601,1,FALSE)</f>
        <v>Jeans</v>
      </c>
      <c r="AB332" s="6" t="str">
        <f>VLOOKUP(D328,D$1:$L$601,1,FALSE)</f>
        <v>Straight Cut</v>
      </c>
      <c r="AC332" s="6">
        <f>VLOOKUP(E328,E$1:$L$601,1,FALSE)</f>
        <v>2.1052631578947367</v>
      </c>
      <c r="AD332" s="6">
        <f>VLOOKUP(F328,F$1:$L$601,1,FALSE)</f>
        <v>2676.4254237288142</v>
      </c>
      <c r="AE332" s="6">
        <f>VLOOKUP(G328,G$1:$L$601,1,FALSE)</f>
        <v>0.06</v>
      </c>
      <c r="AF332" s="6">
        <f>VLOOKUP(H328,H$1:$L$601,1,FALSE)</f>
        <v>0</v>
      </c>
      <c r="AG332" s="6">
        <f>VLOOKUP(I328,I$1:$L$601,1,FALSE)</f>
        <v>45826</v>
      </c>
      <c r="AH332" s="6" t="str">
        <f>VLOOKUP(J328,J$1:$L$601,1,FALSE)</f>
        <v>MUMBAI</v>
      </c>
      <c r="AI332" s="6" t="str">
        <f>VLOOKUP(K328,K$1:$L$601,1,FALSE)</f>
        <v>B2C</v>
      </c>
      <c r="AJ332" s="6">
        <f>VLOOKUP(L328,L$1:$L$601,1,FALSE)</f>
        <v>1282.27</v>
      </c>
    </row>
    <row r="333" spans="1:36" x14ac:dyDescent="0.25">
      <c r="A333">
        <v>1346</v>
      </c>
      <c r="B333" t="s">
        <v>383</v>
      </c>
      <c r="C333" t="s">
        <v>27</v>
      </c>
      <c r="D333" t="s">
        <v>65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23</v>
      </c>
      <c r="K333" t="s">
        <v>16</v>
      </c>
      <c r="L333" s="2">
        <v>-891.76</v>
      </c>
      <c r="Y333" s="6">
        <f>VLOOKUP(A329,A$1:$L$601,1,FALSE)</f>
        <v>1341</v>
      </c>
      <c r="Z333" s="6" t="str">
        <f>VLOOKUP(B329,B$1:$L$601,1,FALSE)</f>
        <v>William White</v>
      </c>
      <c r="AA333" s="6" t="str">
        <f>VLOOKUP(C329,C$1:$L$601,1,FALSE)</f>
        <v>Shoes</v>
      </c>
      <c r="AB333" s="6" t="str">
        <f>VLOOKUP(D329,D$1:$L$601,1,FALSE)</f>
        <v>Slip-Ons</v>
      </c>
      <c r="AC333" s="6">
        <f>VLOOKUP(E329,E$1:$L$601,1,FALSE)</f>
        <v>1.5178571428571428</v>
      </c>
      <c r="AD333" s="6">
        <f>VLOOKUP(F329,F$1:$L$601,1,FALSE)</f>
        <v>3074.06</v>
      </c>
      <c r="AE333" s="6">
        <f>VLOOKUP(G329,G$1:$L$601,1,FALSE)</f>
        <v>1.24E-2</v>
      </c>
      <c r="AF333" s="6">
        <f>VLOOKUP(H329,H$1:$L$601,1,FALSE)</f>
        <v>737.77</v>
      </c>
      <c r="AG333" s="6">
        <f>VLOOKUP(I329,I$1:$L$601,1,FALSE)</f>
        <v>45771</v>
      </c>
      <c r="AH333" s="6" t="str">
        <f>VLOOKUP(J329,J$1:$L$601,1,FALSE)</f>
        <v>AHMEDABAD</v>
      </c>
      <c r="AI333" s="6" t="str">
        <f>VLOOKUP(K329,K$1:$L$601,1,FALSE)</f>
        <v>B2C</v>
      </c>
      <c r="AJ333" s="6">
        <f>VLOOKUP(L329,L$1:$L$601,1,FALSE)</f>
        <v>2634.42</v>
      </c>
    </row>
    <row r="334" spans="1:36" x14ac:dyDescent="0.25">
      <c r="A334">
        <v>1348</v>
      </c>
      <c r="B334" t="s">
        <v>384</v>
      </c>
      <c r="C334" t="s">
        <v>36</v>
      </c>
      <c r="D334" t="s">
        <v>71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33</v>
      </c>
      <c r="K334" t="s">
        <v>24</v>
      </c>
      <c r="L334" s="2">
        <v>2694.39</v>
      </c>
      <c r="Y334" s="6">
        <f>VLOOKUP(A330,A$1:$L$601,1,FALSE)</f>
        <v>1342</v>
      </c>
      <c r="Z334" s="6" t="str">
        <f>VLOOKUP(B330,B$1:$L$601,1,FALSE)</f>
        <v>Chloe Martinez</v>
      </c>
      <c r="AA334" s="6" t="str">
        <f>VLOOKUP(C330,C$1:$L$601,1,FALSE)</f>
        <v>Dresses</v>
      </c>
      <c r="AB334" s="6" t="str">
        <f>VLOOKUP(D330,D$1:$L$601,1,FALSE)</f>
        <v>Wrap Dress</v>
      </c>
      <c r="AC334" s="6">
        <f>VLOOKUP(E330,E$1:$L$601,1,FALSE)</f>
        <v>1.5178571428571428</v>
      </c>
      <c r="AD334" s="6">
        <f>VLOOKUP(F330,F$1:$L$601,1,FALSE)</f>
        <v>4707.2</v>
      </c>
      <c r="AE334" s="6">
        <f>VLOOKUP(G330,G$1:$L$601,1,FALSE)</f>
        <v>0.55000000000000004</v>
      </c>
      <c r="AF334" s="6">
        <f>VLOOKUP(H330,H$1:$L$601,1,FALSE)</f>
        <v>0</v>
      </c>
      <c r="AG334" s="6">
        <f>VLOOKUP(I330,I$1:$L$601,1,FALSE)</f>
        <v>45626.838268792708</v>
      </c>
      <c r="AH334" s="6" t="str">
        <f>VLOOKUP(J330,J$1:$L$601,1,FALSE)</f>
        <v>PUNE</v>
      </c>
      <c r="AI334" s="6" t="str">
        <f>VLOOKUP(K330,K$1:$L$601,1,FALSE)</f>
        <v>B2B</v>
      </c>
      <c r="AJ334" s="6">
        <f>VLOOKUP(L330,L$1:$L$601,1,FALSE)</f>
        <v>1395.82</v>
      </c>
    </row>
    <row r="335" spans="1:36" x14ac:dyDescent="0.25">
      <c r="A335">
        <v>1349</v>
      </c>
      <c r="B335" t="s">
        <v>385</v>
      </c>
      <c r="C335" t="s">
        <v>21</v>
      </c>
      <c r="D335" t="s">
        <v>121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48</v>
      </c>
      <c r="K335" t="s">
        <v>24</v>
      </c>
      <c r="L335" s="2">
        <v>2085.75</v>
      </c>
      <c r="Y335" s="6">
        <f>VLOOKUP(A331,A$1:$L$601,1,FALSE)</f>
        <v>1343</v>
      </c>
      <c r="Z335" s="6" t="str">
        <f>VLOOKUP(B331,B$1:$L$601,1,FALSE)</f>
        <v>Catherine Barnett</v>
      </c>
      <c r="AA335" s="6" t="str">
        <f>VLOOKUP(C331,C$1:$L$601,1,FALSE)</f>
        <v>Jeans</v>
      </c>
      <c r="AB335" s="6" t="str">
        <f>VLOOKUP(D331,D$1:$L$601,1,FALSE)</f>
        <v>Ripped Denim</v>
      </c>
      <c r="AC335" s="6">
        <f>VLOOKUP(E331,E$1:$L$601,1,FALSE)</f>
        <v>2.1052631578947367</v>
      </c>
      <c r="AD335" s="6">
        <f>VLOOKUP(F331,F$1:$L$601,1,FALSE)</f>
        <v>4012.48</v>
      </c>
      <c r="AE335" s="6">
        <f>VLOOKUP(G331,G$1:$L$601,1,FALSE)</f>
        <v>0.58977272727272723</v>
      </c>
      <c r="AF335" s="6">
        <f>VLOOKUP(H331,H$1:$L$601,1,FALSE)</f>
        <v>0</v>
      </c>
      <c r="AG335" s="6">
        <f>VLOOKUP(I331,I$1:$L$601,1,FALSE)</f>
        <v>45859</v>
      </c>
      <c r="AH335" s="6" t="str">
        <f>VLOOKUP(J331,J$1:$L$601,1,FALSE)</f>
        <v>MUMBAI</v>
      </c>
      <c r="AI335" s="6" t="str">
        <f>VLOOKUP(K331,K$1:$L$601,1,FALSE)</f>
        <v>B2C</v>
      </c>
      <c r="AJ335" s="6">
        <f>VLOOKUP(L331,L$1:$L$601,1,FALSE)</f>
        <v>730.98</v>
      </c>
    </row>
    <row r="336" spans="1:36" x14ac:dyDescent="0.25">
      <c r="A336">
        <v>1351</v>
      </c>
      <c r="B336" t="s">
        <v>386</v>
      </c>
      <c r="C336" t="s">
        <v>27</v>
      </c>
      <c r="D336" t="s">
        <v>65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33</v>
      </c>
      <c r="K336" t="s">
        <v>16</v>
      </c>
      <c r="L336" s="2">
        <v>2621.66</v>
      </c>
      <c r="Y336" s="6">
        <f>VLOOKUP(A332,A$1:$L$601,1,FALSE)</f>
        <v>1344</v>
      </c>
      <c r="Z336" s="6" t="str">
        <f>VLOOKUP(B332,B$1:$L$601,1,FALSE)</f>
        <v>Jason Dixon</v>
      </c>
      <c r="AA336" s="6" t="str">
        <f>VLOOKUP(C332,C$1:$L$601,1,FALSE)</f>
        <v>Jeans</v>
      </c>
      <c r="AB336" s="6" t="str">
        <f>VLOOKUP(D332,D$1:$L$601,1,FALSE)</f>
        <v>Straight Cut</v>
      </c>
      <c r="AC336" s="6">
        <f>VLOOKUP(E332,E$1:$L$601,1,FALSE)</f>
        <v>4</v>
      </c>
      <c r="AD336" s="6">
        <f>VLOOKUP(F332,F$1:$L$601,1,FALSE)</f>
        <v>3386.91</v>
      </c>
      <c r="AE336" s="6">
        <f>VLOOKUP(G332,G$1:$L$601,1,FALSE)</f>
        <v>0.58977272727272723</v>
      </c>
      <c r="AF336" s="6">
        <f>VLOOKUP(H332,H$1:$L$601,1,FALSE)</f>
        <v>0</v>
      </c>
      <c r="AG336" s="6">
        <f>VLOOKUP(I332,I$1:$L$601,1,FALSE)</f>
        <v>45626.838268792708</v>
      </c>
      <c r="AH336" s="6" t="str">
        <f>VLOOKUP(J332,J$1:$L$601,1,FALSE)</f>
        <v>MUMBAI</v>
      </c>
      <c r="AI336" s="6" t="str">
        <f>VLOOKUP(K332,K$1:$L$601,1,FALSE)</f>
        <v>B2C</v>
      </c>
      <c r="AJ336" s="6">
        <f>VLOOKUP(L332,L$1:$L$601,1,FALSE)</f>
        <v>2006.17</v>
      </c>
    </row>
    <row r="337" spans="1:36" x14ac:dyDescent="0.25">
      <c r="A337">
        <v>1354</v>
      </c>
      <c r="B337" t="s">
        <v>387</v>
      </c>
      <c r="C337" t="s">
        <v>13</v>
      </c>
      <c r="D337" t="s">
        <v>51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19</v>
      </c>
      <c r="K337" t="s">
        <v>16</v>
      </c>
      <c r="L337" s="2">
        <v>-678.38</v>
      </c>
      <c r="Y337" s="6">
        <f>VLOOKUP(A333,A$1:$L$601,1,FALSE)</f>
        <v>1346</v>
      </c>
      <c r="Z337" s="6" t="str">
        <f>VLOOKUP(B333,B$1:$L$601,1,FALSE)</f>
        <v>Leah Gonzalez</v>
      </c>
      <c r="AA337" s="6" t="str">
        <f>VLOOKUP(C333,C$1:$L$601,1,FALSE)</f>
        <v>Shoes</v>
      </c>
      <c r="AB337" s="6" t="str">
        <f>VLOOKUP(D333,D$1:$L$601,1,FALSE)</f>
        <v>Slip-Ons</v>
      </c>
      <c r="AC337" s="6">
        <f>VLOOKUP(E333,E$1:$L$601,1,FALSE)</f>
        <v>1.5178571428571428</v>
      </c>
      <c r="AD337" s="6">
        <f>VLOOKUP(F333,F$1:$L$601,1,FALSE)</f>
        <v>1622.65</v>
      </c>
      <c r="AE337" s="6">
        <f>VLOOKUP(G333,G$1:$L$601,1,FALSE)</f>
        <v>0.59740740740740739</v>
      </c>
      <c r="AF337" s="6">
        <f>VLOOKUP(H333,H$1:$L$601,1,FALSE)</f>
        <v>0</v>
      </c>
      <c r="AG337" s="6">
        <f>VLOOKUP(I333,I$1:$L$601,1,FALSE)</f>
        <v>45626.838268792708</v>
      </c>
      <c r="AH337" s="6" t="str">
        <f>VLOOKUP(J333,J$1:$L$601,1,FALSE)</f>
        <v>MUMBAI</v>
      </c>
      <c r="AI337" s="6" t="str">
        <f>VLOOKUP(K333,K$1:$L$601,1,FALSE)</f>
        <v>B2C</v>
      </c>
      <c r="AJ337" s="6">
        <f>VLOOKUP(L333,L$1:$L$601,1,FALSE)</f>
        <v>-891.76</v>
      </c>
    </row>
    <row r="338" spans="1:36" x14ac:dyDescent="0.25">
      <c r="A338">
        <v>1355</v>
      </c>
      <c r="B338" t="s">
        <v>388</v>
      </c>
      <c r="C338" t="s">
        <v>41</v>
      </c>
      <c r="D338" t="s">
        <v>90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23</v>
      </c>
      <c r="K338" t="s">
        <v>24</v>
      </c>
      <c r="L338" s="2">
        <v>698.05</v>
      </c>
      <c r="Y338" s="6">
        <f>VLOOKUP(A334,A$1:$L$601,1,FALSE)</f>
        <v>1348</v>
      </c>
      <c r="Z338" s="6" t="str">
        <f>VLOOKUP(B334,B$1:$L$601,1,FALSE)</f>
        <v>Justin Bowen</v>
      </c>
      <c r="AA338" s="6" t="str">
        <f>VLOOKUP(C334,C$1:$L$601,1,FALSE)</f>
        <v>T-Shirts</v>
      </c>
      <c r="AB338" s="6" t="str">
        <f>VLOOKUP(D334,D$1:$L$601,1,FALSE)</f>
        <v>Classic Tee</v>
      </c>
      <c r="AC338" s="6">
        <f>VLOOKUP(E334,E$1:$L$601,1,FALSE)</f>
        <v>2</v>
      </c>
      <c r="AD338" s="6">
        <f>VLOOKUP(F334,F$1:$L$601,1,FALSE)</f>
        <v>1219.2</v>
      </c>
      <c r="AE338" s="6">
        <f>VLOOKUP(G334,G$1:$L$601,1,FALSE)</f>
        <v>1.1699999999999999E-2</v>
      </c>
      <c r="AF338" s="6">
        <f>VLOOKUP(H334,H$1:$L$601,1,FALSE)</f>
        <v>-414.53</v>
      </c>
      <c r="AG338" s="6">
        <f>VLOOKUP(I334,I$1:$L$601,1,FALSE)</f>
        <v>45604</v>
      </c>
      <c r="AH338" s="6" t="str">
        <f>VLOOKUP(J334,J$1:$L$601,1,FALSE)</f>
        <v>HYDERBAD</v>
      </c>
      <c r="AI338" s="6" t="str">
        <f>VLOOKUP(K334,K$1:$L$601,1,FALSE)</f>
        <v>B2B</v>
      </c>
      <c r="AJ338" s="6">
        <f>VLOOKUP(L334,L$1:$L$601,1,FALSE)</f>
        <v>2694.39</v>
      </c>
    </row>
    <row r="339" spans="1:36" x14ac:dyDescent="0.25">
      <c r="A339">
        <v>1356</v>
      </c>
      <c r="B339" t="s">
        <v>389</v>
      </c>
      <c r="C339" t="s">
        <v>21</v>
      </c>
      <c r="D339" t="s">
        <v>87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19</v>
      </c>
      <c r="K339" t="s">
        <v>16</v>
      </c>
      <c r="L339" s="2">
        <v>428.96</v>
      </c>
      <c r="Y339" s="6">
        <f>VLOOKUP(A335,A$1:$L$601,1,FALSE)</f>
        <v>1349</v>
      </c>
      <c r="Z339" s="6" t="str">
        <f>VLOOKUP(B335,B$1:$L$601,1,FALSE)</f>
        <v>Lisa Henry</v>
      </c>
      <c r="AA339" s="6" t="str">
        <f>VLOOKUP(C335,C$1:$L$601,1,FALSE)</f>
        <v>Jackets</v>
      </c>
      <c r="AB339" s="6" t="str">
        <f>VLOOKUP(D335,D$1:$L$601,1,FALSE)</f>
        <v>Leather Jacket</v>
      </c>
      <c r="AC339" s="6">
        <f>VLOOKUP(E335,E$1:$L$601,1,FALSE)</f>
        <v>1.5178571428571428</v>
      </c>
      <c r="AD339" s="6">
        <f>VLOOKUP(F335,F$1:$L$601,1,FALSE)</f>
        <v>2811.5702272727276</v>
      </c>
      <c r="AE339" s="6">
        <f>VLOOKUP(G335,G$1:$L$601,1,FALSE)</f>
        <v>0.82</v>
      </c>
      <c r="AF339" s="6">
        <f>VLOOKUP(H335,H$1:$L$601,1,FALSE)</f>
        <v>0</v>
      </c>
      <c r="AG339" s="6">
        <f>VLOOKUP(I335,I$1:$L$601,1,FALSE)</f>
        <v>45705</v>
      </c>
      <c r="AH339" s="6" t="str">
        <f>VLOOKUP(J335,J$1:$L$601,1,FALSE)</f>
        <v>PUNE</v>
      </c>
      <c r="AI339" s="6" t="str">
        <f>VLOOKUP(K335,K$1:$L$601,1,FALSE)</f>
        <v>B2B</v>
      </c>
      <c r="AJ339" s="6">
        <f>VLOOKUP(L335,L$1:$L$601,1,FALSE)</f>
        <v>2085.75</v>
      </c>
    </row>
    <row r="340" spans="1:36" x14ac:dyDescent="0.25">
      <c r="A340">
        <v>1357</v>
      </c>
      <c r="B340" t="s">
        <v>390</v>
      </c>
      <c r="C340" t="s">
        <v>21</v>
      </c>
      <c r="D340" t="s">
        <v>22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33</v>
      </c>
      <c r="K340" t="s">
        <v>16</v>
      </c>
      <c r="L340" s="2">
        <v>684.88</v>
      </c>
      <c r="Y340" s="6">
        <f>VLOOKUP(A336,A$1:$L$601,1,FALSE)</f>
        <v>1351</v>
      </c>
      <c r="Z340" s="6" t="str">
        <f>VLOOKUP(B336,B$1:$L$601,1,FALSE)</f>
        <v>Brian Edwards</v>
      </c>
      <c r="AA340" s="6" t="str">
        <f>VLOOKUP(C336,C$1:$L$601,1,FALSE)</f>
        <v>Shoes</v>
      </c>
      <c r="AB340" s="6" t="str">
        <f>VLOOKUP(D336,D$1:$L$601,1,FALSE)</f>
        <v>Slip-Ons</v>
      </c>
      <c r="AC340" s="6">
        <f>VLOOKUP(E336,E$1:$L$601,1,FALSE)</f>
        <v>1.6216216216216217</v>
      </c>
      <c r="AD340" s="6">
        <f>VLOOKUP(F336,F$1:$L$601,1,FALSE)</f>
        <v>2557.4251351351354</v>
      </c>
      <c r="AE340" s="6">
        <f>VLOOKUP(G336,G$1:$L$601,1,FALSE)</f>
        <v>0.59740740740740739</v>
      </c>
      <c r="AF340" s="6">
        <f>VLOOKUP(H336,H$1:$L$601,1,FALSE)</f>
        <v>0</v>
      </c>
      <c r="AG340" s="6">
        <f>VLOOKUP(I336,I$1:$L$601,1,FALSE)</f>
        <v>45546</v>
      </c>
      <c r="AH340" s="6" t="str">
        <f>VLOOKUP(J336,J$1:$L$601,1,FALSE)</f>
        <v>HYDERBAD</v>
      </c>
      <c r="AI340" s="6" t="str">
        <f>VLOOKUP(K336,K$1:$L$601,1,FALSE)</f>
        <v>B2C</v>
      </c>
      <c r="AJ340" s="6">
        <f>VLOOKUP(L336,L$1:$L$601,1,FALSE)</f>
        <v>2621.66</v>
      </c>
    </row>
    <row r="341" spans="1:36" x14ac:dyDescent="0.25">
      <c r="A341">
        <v>1358</v>
      </c>
      <c r="B341" t="s">
        <v>391</v>
      </c>
      <c r="C341" t="s">
        <v>31</v>
      </c>
      <c r="D341" t="s">
        <v>44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29</v>
      </c>
      <c r="K341" t="s">
        <v>16</v>
      </c>
      <c r="L341" s="2">
        <v>1347.26</v>
      </c>
      <c r="Y341" s="6">
        <f>VLOOKUP(A337,A$1:$L$601,1,FALSE)</f>
        <v>1354</v>
      </c>
      <c r="Z341" s="6" t="str">
        <f>VLOOKUP(B337,B$1:$L$601,1,FALSE)</f>
        <v>Mr. George Cooper</v>
      </c>
      <c r="AA341" s="6" t="str">
        <f>VLOOKUP(C337,C$1:$L$601,1,FALSE)</f>
        <v>Jeans</v>
      </c>
      <c r="AB341" s="6" t="str">
        <f>VLOOKUP(D337,D$1:$L$601,1,FALSE)</f>
        <v>Straight Cut</v>
      </c>
      <c r="AC341" s="6">
        <f>VLOOKUP(E337,E$1:$L$601,1,FALSE)</f>
        <v>1</v>
      </c>
      <c r="AD341" s="6">
        <f>VLOOKUP(F337,F$1:$L$601,1,FALSE)</f>
        <v>2676.4254237288142</v>
      </c>
      <c r="AE341" s="6">
        <f>VLOOKUP(G337,G$1:$L$601,1,FALSE)</f>
        <v>0.58977272727272723</v>
      </c>
      <c r="AF341" s="6">
        <f>VLOOKUP(H337,H$1:$L$601,1,FALSE)</f>
        <v>0</v>
      </c>
      <c r="AG341" s="6">
        <f>VLOOKUP(I337,I$1:$L$601,1,FALSE)</f>
        <v>45789</v>
      </c>
      <c r="AH341" s="6" t="str">
        <f>VLOOKUP(J337,J$1:$L$601,1,FALSE)</f>
        <v>AHMEDABAD</v>
      </c>
      <c r="AI341" s="6" t="str">
        <f>VLOOKUP(K337,K$1:$L$601,1,FALSE)</f>
        <v>B2C</v>
      </c>
      <c r="AJ341" s="6">
        <f>VLOOKUP(L337,L$1:$L$601,1,FALSE)</f>
        <v>-678.38</v>
      </c>
    </row>
    <row r="342" spans="1:36" x14ac:dyDescent="0.25">
      <c r="A342">
        <v>1359</v>
      </c>
      <c r="B342" t="s">
        <v>392</v>
      </c>
      <c r="C342" t="s">
        <v>36</v>
      </c>
      <c r="D342" t="s">
        <v>37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23</v>
      </c>
      <c r="K342" t="s">
        <v>16</v>
      </c>
      <c r="L342" s="2">
        <v>1663.88</v>
      </c>
      <c r="Y342" s="6">
        <f>VLOOKUP(A338,A$1:$L$601,1,FALSE)</f>
        <v>1355</v>
      </c>
      <c r="Z342" s="6" t="str">
        <f>VLOOKUP(B338,B$1:$L$601,1,FALSE)</f>
        <v>Ryan James</v>
      </c>
      <c r="AA342" s="6" t="str">
        <f>VLOOKUP(C338,C$1:$L$601,1,FALSE)</f>
        <v>Dresses</v>
      </c>
      <c r="AB342" s="6" t="str">
        <f>VLOOKUP(D338,D$1:$L$601,1,FALSE)</f>
        <v>Bodycon</v>
      </c>
      <c r="AC342" s="6">
        <f>VLOOKUP(E338,E$1:$L$601,1,FALSE)</f>
        <v>1</v>
      </c>
      <c r="AD342" s="6">
        <f>VLOOKUP(F338,F$1:$L$601,1,FALSE)</f>
        <v>1054.69</v>
      </c>
      <c r="AE342" s="6">
        <f>VLOOKUP(G338,G$1:$L$601,1,FALSE)</f>
        <v>0.18</v>
      </c>
      <c r="AF342" s="6">
        <f>VLOOKUP(H338,H$1:$L$601,1,FALSE)</f>
        <v>864.85</v>
      </c>
      <c r="AG342" s="6">
        <f>VLOOKUP(I338,I$1:$L$601,1,FALSE)</f>
        <v>45585</v>
      </c>
      <c r="AH342" s="6" t="str">
        <f>VLOOKUP(J338,J$1:$L$601,1,FALSE)</f>
        <v>MUMBAI</v>
      </c>
      <c r="AI342" s="6" t="str">
        <f>VLOOKUP(K338,K$1:$L$601,1,FALSE)</f>
        <v>B2B</v>
      </c>
      <c r="AJ342" s="6">
        <f>VLOOKUP(L338,L$1:$L$601,1,FALSE)</f>
        <v>698.05</v>
      </c>
    </row>
    <row r="343" spans="1:36" x14ac:dyDescent="0.25">
      <c r="A343">
        <v>1360</v>
      </c>
      <c r="B343" t="s">
        <v>393</v>
      </c>
      <c r="C343" t="s">
        <v>13</v>
      </c>
      <c r="D343" t="s">
        <v>39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  <c r="Y343" s="6">
        <f>VLOOKUP(A339,A$1:$L$601,1,FALSE)</f>
        <v>1356</v>
      </c>
      <c r="Z343" s="6" t="str">
        <f>VLOOKUP(B339,B$1:$L$601,1,FALSE)</f>
        <v>Veronica Cordova</v>
      </c>
      <c r="AA343" s="6" t="str">
        <f>VLOOKUP(C339,C$1:$L$601,1,FALSE)</f>
        <v>Jackets</v>
      </c>
      <c r="AB343" s="6" t="str">
        <f>VLOOKUP(D339,D$1:$L$601,1,FALSE)</f>
        <v>Denim Jacket</v>
      </c>
      <c r="AC343" s="6">
        <f>VLOOKUP(E339,E$1:$L$601,1,FALSE)</f>
        <v>1.8076923076923077</v>
      </c>
      <c r="AD343" s="6">
        <f>VLOOKUP(F339,F$1:$L$601,1,FALSE)</f>
        <v>2418.5500000000002</v>
      </c>
      <c r="AE343" s="6">
        <f>VLOOKUP(G339,G$1:$L$601,1,FALSE)</f>
        <v>0.88</v>
      </c>
      <c r="AF343" s="6">
        <f>VLOOKUP(H339,H$1:$L$601,1,FALSE)</f>
        <v>0</v>
      </c>
      <c r="AG343" s="6">
        <f>VLOOKUP(I339,I$1:$L$601,1,FALSE)</f>
        <v>45965</v>
      </c>
      <c r="AH343" s="6" t="str">
        <f>VLOOKUP(J339,J$1:$L$601,1,FALSE)</f>
        <v>AHMEDABAD</v>
      </c>
      <c r="AI343" s="6" t="str">
        <f>VLOOKUP(K339,K$1:$L$601,1,FALSE)</f>
        <v>B2C</v>
      </c>
      <c r="AJ343" s="6">
        <f>VLOOKUP(L339,L$1:$L$601,1,FALSE)</f>
        <v>428.96</v>
      </c>
    </row>
    <row r="344" spans="1:36" x14ac:dyDescent="0.25">
      <c r="A344">
        <v>1361</v>
      </c>
      <c r="B344" t="s">
        <v>394</v>
      </c>
      <c r="C344" t="s">
        <v>36</v>
      </c>
      <c r="D344" t="s">
        <v>71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23</v>
      </c>
      <c r="K344" t="s">
        <v>16</v>
      </c>
      <c r="L344" s="2">
        <v>528.79999999999995</v>
      </c>
      <c r="Y344" s="6">
        <f>VLOOKUP(A340,A$1:$L$601,1,FALSE)</f>
        <v>1357</v>
      </c>
      <c r="Z344" s="6" t="str">
        <f>VLOOKUP(B340,B$1:$L$601,1,FALSE)</f>
        <v>Jacob Brooks</v>
      </c>
      <c r="AA344" s="6" t="str">
        <f>VLOOKUP(C340,C$1:$L$601,1,FALSE)</f>
        <v>Jackets</v>
      </c>
      <c r="AB344" s="6" t="str">
        <f>VLOOKUP(D340,D$1:$L$601,1,FALSE)</f>
        <v>Puffer Coat</v>
      </c>
      <c r="AC344" s="6">
        <f>VLOOKUP(E340,E$1:$L$601,1,FALSE)</f>
        <v>1.8076923076923077</v>
      </c>
      <c r="AD344" s="6">
        <f>VLOOKUP(F340,F$1:$L$601,1,FALSE)</f>
        <v>1128.57</v>
      </c>
      <c r="AE344" s="6">
        <f>VLOOKUP(G340,G$1:$L$601,1,FALSE)</f>
        <v>0.39</v>
      </c>
      <c r="AF344" s="6">
        <f>VLOOKUP(H340,H$1:$L$601,1,FALSE)</f>
        <v>0</v>
      </c>
      <c r="AG344" s="6">
        <f>VLOOKUP(I340,I$1:$L$601,1,FALSE)</f>
        <v>45678</v>
      </c>
      <c r="AH344" s="6" t="str">
        <f>VLOOKUP(J340,J$1:$L$601,1,FALSE)</f>
        <v>HYDERBAD</v>
      </c>
      <c r="AI344" s="6" t="str">
        <f>VLOOKUP(K340,K$1:$L$601,1,FALSE)</f>
        <v>B2C</v>
      </c>
      <c r="AJ344" s="6">
        <f>VLOOKUP(L340,L$1:$L$601,1,FALSE)</f>
        <v>684.88</v>
      </c>
    </row>
    <row r="345" spans="1:36" x14ac:dyDescent="0.25">
      <c r="A345">
        <v>1362</v>
      </c>
      <c r="B345" t="s">
        <v>395</v>
      </c>
      <c r="C345" t="s">
        <v>36</v>
      </c>
      <c r="D345" t="s">
        <v>71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19</v>
      </c>
      <c r="K345" t="s">
        <v>16</v>
      </c>
      <c r="L345" s="2">
        <v>-499.33</v>
      </c>
      <c r="Y345" s="6">
        <f>VLOOKUP(A341,A$1:$L$601,1,FALSE)</f>
        <v>1358</v>
      </c>
      <c r="Z345" s="6" t="str">
        <f>VLOOKUP(B341,B$1:$L$601,1,FALSE)</f>
        <v>Matthew Brown</v>
      </c>
      <c r="AA345" s="6" t="str">
        <f>VLOOKUP(C341,C$1:$L$601,1,FALSE)</f>
        <v>Accessories</v>
      </c>
      <c r="AB345" s="6" t="str">
        <f>VLOOKUP(D341,D$1:$L$601,1,FALSE)</f>
        <v>Sunglasses</v>
      </c>
      <c r="AC345" s="6">
        <f>VLOOKUP(E341,E$1:$L$601,1,FALSE)</f>
        <v>2.4893617021276597</v>
      </c>
      <c r="AD345" s="6">
        <f>VLOOKUP(F341,F$1:$L$601,1,FALSE)</f>
        <v>2706.1301960784322</v>
      </c>
      <c r="AE345" s="6">
        <f>VLOOKUP(G341,G$1:$L$601,1,FALSE)</f>
        <v>1.23E-2</v>
      </c>
      <c r="AF345" s="6">
        <f>VLOOKUP(H341,H$1:$L$601,1,FALSE)</f>
        <v>0</v>
      </c>
      <c r="AG345" s="6">
        <f>VLOOKUP(I341,I$1:$L$601,1,FALSE)</f>
        <v>45704</v>
      </c>
      <c r="AH345" s="6" t="str">
        <f>VLOOKUP(J341,J$1:$L$601,1,FALSE)</f>
        <v>BANGALORE</v>
      </c>
      <c r="AI345" s="6" t="str">
        <f>VLOOKUP(K341,K$1:$L$601,1,FALSE)</f>
        <v>B2C</v>
      </c>
      <c r="AJ345" s="6">
        <f>VLOOKUP(L341,L$1:$L$601,1,FALSE)</f>
        <v>1347.26</v>
      </c>
    </row>
    <row r="346" spans="1:36" x14ac:dyDescent="0.25">
      <c r="A346">
        <v>1363</v>
      </c>
      <c r="B346" t="s">
        <v>396</v>
      </c>
      <c r="C346" t="s">
        <v>41</v>
      </c>
      <c r="D346" t="s">
        <v>90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23</v>
      </c>
      <c r="K346" t="s">
        <v>24</v>
      </c>
      <c r="L346" s="2">
        <v>2143.4</v>
      </c>
      <c r="Y346" s="6">
        <f>VLOOKUP(A342,A$1:$L$601,1,FALSE)</f>
        <v>1359</v>
      </c>
      <c r="Z346" s="6" t="str">
        <f>VLOOKUP(B342,B$1:$L$601,1,FALSE)</f>
        <v>Robert Harmon</v>
      </c>
      <c r="AA346" s="6" t="str">
        <f>VLOOKUP(C342,C$1:$L$601,1,FALSE)</f>
        <v>T-Shirts</v>
      </c>
      <c r="AB346" s="6" t="str">
        <f>VLOOKUP(D342,D$1:$L$601,1,FALSE)</f>
        <v>Crop Top</v>
      </c>
      <c r="AC346" s="6">
        <f>VLOOKUP(E342,E$1:$L$601,1,FALSE)</f>
        <v>1.5178571428571428</v>
      </c>
      <c r="AD346" s="6">
        <f>VLOOKUP(F342,F$1:$L$601,1,FALSE)</f>
        <v>4625.84</v>
      </c>
      <c r="AE346" s="6">
        <f>VLOOKUP(G342,G$1:$L$601,1,FALSE)</f>
        <v>0.65787878787878773</v>
      </c>
      <c r="AF346" s="6">
        <f>VLOOKUP(H342,H$1:$L$601,1,FALSE)</f>
        <v>0</v>
      </c>
      <c r="AG346" s="6">
        <f>VLOOKUP(I342,I$1:$L$601,1,FALSE)</f>
        <v>45626.838268792708</v>
      </c>
      <c r="AH346" s="6" t="str">
        <f>VLOOKUP(J342,J$1:$L$601,1,FALSE)</f>
        <v>MUMBAI</v>
      </c>
      <c r="AI346" s="6" t="str">
        <f>VLOOKUP(K342,K$1:$L$601,1,FALSE)</f>
        <v>B2C</v>
      </c>
      <c r="AJ346" s="6">
        <f>VLOOKUP(L342,L$1:$L$601,1,FALSE)</f>
        <v>1663.88</v>
      </c>
    </row>
    <row r="347" spans="1:36" x14ac:dyDescent="0.25">
      <c r="A347">
        <v>1364</v>
      </c>
      <c r="B347" t="s">
        <v>397</v>
      </c>
      <c r="C347" t="s">
        <v>36</v>
      </c>
      <c r="D347" t="s">
        <v>71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19</v>
      </c>
      <c r="K347" t="s">
        <v>16</v>
      </c>
      <c r="L347" s="2">
        <v>1839.35</v>
      </c>
      <c r="Y347" s="6">
        <f>VLOOKUP(A343,A$1:$L$601,1,FALSE)</f>
        <v>1360</v>
      </c>
      <c r="Z347" s="6" t="str">
        <f>VLOOKUP(B343,B$1:$L$601,1,FALSE)</f>
        <v>Rebecca Gonzalez</v>
      </c>
      <c r="AA347" s="6" t="str">
        <f>VLOOKUP(C343,C$1:$L$601,1,FALSE)</f>
        <v>Jeans</v>
      </c>
      <c r="AB347" s="6" t="str">
        <f>VLOOKUP(D343,D$1:$L$601,1,FALSE)</f>
        <v>Boyfriend Jeans</v>
      </c>
      <c r="AC347" s="6">
        <f>VLOOKUP(E343,E$1:$L$601,1,FALSE)</f>
        <v>2.1052631578947367</v>
      </c>
      <c r="AD347" s="6">
        <f>VLOOKUP(F343,F$1:$L$601,1,FALSE)</f>
        <v>2676.4254237288142</v>
      </c>
      <c r="AE347" s="6">
        <f>VLOOKUP(G343,G$1:$L$601,1,FALSE)</f>
        <v>1.1299999999999999E-2</v>
      </c>
      <c r="AF347" s="6">
        <f>VLOOKUP(H343,H$1:$L$601,1,FALSE)</f>
        <v>0</v>
      </c>
      <c r="AG347" s="6">
        <f>VLOOKUP(I343,I$1:$L$601,1,FALSE)</f>
        <v>45692</v>
      </c>
      <c r="AH347" s="6" t="str">
        <f>VLOOKUP(J343,J$1:$L$601,1,FALSE)</f>
        <v>DELHI</v>
      </c>
      <c r="AI347" s="6" t="str">
        <f>VLOOKUP(K343,K$1:$L$601,1,FALSE)</f>
        <v>B2C</v>
      </c>
      <c r="AJ347" s="6">
        <f>VLOOKUP(L343,L$1:$L$601,1,FALSE)</f>
        <v>1316.73</v>
      </c>
    </row>
    <row r="348" spans="1:36" x14ac:dyDescent="0.25">
      <c r="A348">
        <v>1365</v>
      </c>
      <c r="B348" t="s">
        <v>398</v>
      </c>
      <c r="C348" t="s">
        <v>41</v>
      </c>
      <c r="D348" t="s">
        <v>59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  <c r="Y348" s="6">
        <f>VLOOKUP(A344,A$1:$L$601,1,FALSE)</f>
        <v>1361</v>
      </c>
      <c r="Z348" s="6" t="str">
        <f>VLOOKUP(B344,B$1:$L$601,1,FALSE)</f>
        <v>Hannah Ball</v>
      </c>
      <c r="AA348" s="6" t="str">
        <f>VLOOKUP(C344,C$1:$L$601,1,FALSE)</f>
        <v>T-Shirts</v>
      </c>
      <c r="AB348" s="6" t="str">
        <f>VLOOKUP(D344,D$1:$L$601,1,FALSE)</f>
        <v>Classic Tee</v>
      </c>
      <c r="AC348" s="6">
        <f>VLOOKUP(E344,E$1:$L$601,1,FALSE)</f>
        <v>1.5178571428571428</v>
      </c>
      <c r="AD348" s="6">
        <f>VLOOKUP(F344,F$1:$L$601,1,FALSE)</f>
        <v>2742.2927659574466</v>
      </c>
      <c r="AE348" s="6">
        <f>VLOOKUP(G344,G$1:$L$601,1,FALSE)</f>
        <v>0.65787878787878773</v>
      </c>
      <c r="AF348" s="6">
        <f>VLOOKUP(H344,H$1:$L$601,1,FALSE)</f>
        <v>0</v>
      </c>
      <c r="AG348" s="6">
        <f>VLOOKUP(I344,I$1:$L$601,1,FALSE)</f>
        <v>45660</v>
      </c>
      <c r="AH348" s="6" t="str">
        <f>VLOOKUP(J344,J$1:$L$601,1,FALSE)</f>
        <v>MUMBAI</v>
      </c>
      <c r="AI348" s="6" t="str">
        <f>VLOOKUP(K344,K$1:$L$601,1,FALSE)</f>
        <v>B2C</v>
      </c>
      <c r="AJ348" s="6">
        <f>VLOOKUP(L344,L$1:$L$601,1,FALSE)</f>
        <v>528.79999999999995</v>
      </c>
    </row>
    <row r="349" spans="1:36" x14ac:dyDescent="0.25">
      <c r="A349">
        <v>1366</v>
      </c>
      <c r="B349" t="s">
        <v>399</v>
      </c>
      <c r="C349" t="s">
        <v>41</v>
      </c>
      <c r="D349" t="s">
        <v>90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29</v>
      </c>
      <c r="K349" t="s">
        <v>16</v>
      </c>
      <c r="L349" s="2">
        <v>928.57</v>
      </c>
      <c r="Y349" s="6">
        <f>VLOOKUP(A345,A$1:$L$601,1,FALSE)</f>
        <v>1362</v>
      </c>
      <c r="Z349" s="6" t="str">
        <f>VLOOKUP(B345,B$1:$L$601,1,FALSE)</f>
        <v>Krista Wright</v>
      </c>
      <c r="AA349" s="6" t="str">
        <f>VLOOKUP(C345,C$1:$L$601,1,FALSE)</f>
        <v>T-Shirts</v>
      </c>
      <c r="AB349" s="6" t="str">
        <f>VLOOKUP(D345,D$1:$L$601,1,FALSE)</f>
        <v>Classic Tee</v>
      </c>
      <c r="AC349" s="6">
        <f>VLOOKUP(E345,E$1:$L$601,1,FALSE)</f>
        <v>1.5178571428571428</v>
      </c>
      <c r="AD349" s="6">
        <f>VLOOKUP(F345,F$1:$L$601,1,FALSE)</f>
        <v>4953.0200000000004</v>
      </c>
      <c r="AE349" s="6">
        <f>VLOOKUP(G345,G$1:$L$601,1,FALSE)</f>
        <v>0.65787878787878773</v>
      </c>
      <c r="AF349" s="6">
        <f>VLOOKUP(H345,H$1:$L$601,1,FALSE)</f>
        <v>0</v>
      </c>
      <c r="AG349" s="6">
        <f>VLOOKUP(I345,I$1:$L$601,1,FALSE)</f>
        <v>45633</v>
      </c>
      <c r="AH349" s="6" t="str">
        <f>VLOOKUP(J345,J$1:$L$601,1,FALSE)</f>
        <v>AHMEDABAD</v>
      </c>
      <c r="AI349" s="6" t="str">
        <f>VLOOKUP(K345,K$1:$L$601,1,FALSE)</f>
        <v>B2C</v>
      </c>
      <c r="AJ349" s="6">
        <f>VLOOKUP(L345,L$1:$L$601,1,FALSE)</f>
        <v>-499.33</v>
      </c>
    </row>
    <row r="350" spans="1:36" x14ac:dyDescent="0.25">
      <c r="A350">
        <v>1367</v>
      </c>
      <c r="B350" t="s">
        <v>400</v>
      </c>
      <c r="C350" t="s">
        <v>31</v>
      </c>
      <c r="D350" t="s">
        <v>140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19</v>
      </c>
      <c r="K350" t="s">
        <v>24</v>
      </c>
      <c r="L350" s="2">
        <v>2546.35</v>
      </c>
      <c r="Y350" s="6">
        <f>VLOOKUP(A346,A$1:$L$601,1,FALSE)</f>
        <v>1363</v>
      </c>
      <c r="Z350" s="6" t="str">
        <f>VLOOKUP(B346,B$1:$L$601,1,FALSE)</f>
        <v>Marcus Powell</v>
      </c>
      <c r="AA350" s="6" t="str">
        <f>VLOOKUP(C346,C$1:$L$601,1,FALSE)</f>
        <v>Dresses</v>
      </c>
      <c r="AB350" s="6" t="str">
        <f>VLOOKUP(D346,D$1:$L$601,1,FALSE)</f>
        <v>Bodycon</v>
      </c>
      <c r="AC350" s="6">
        <f>VLOOKUP(E346,E$1:$L$601,1,FALSE)</f>
        <v>6</v>
      </c>
      <c r="AD350" s="6">
        <f>VLOOKUP(F346,F$1:$L$601,1,FALSE)</f>
        <v>2949.9901960784309</v>
      </c>
      <c r="AE350" s="6">
        <f>VLOOKUP(G346,G$1:$L$601,1,FALSE)</f>
        <v>0.55000000000000004</v>
      </c>
      <c r="AF350" s="6">
        <f>VLOOKUP(H346,H$1:$L$601,1,FALSE)</f>
        <v>0</v>
      </c>
      <c r="AG350" s="6">
        <f>VLOOKUP(I346,I$1:$L$601,1,FALSE)</f>
        <v>45626.838268792708</v>
      </c>
      <c r="AH350" s="6" t="str">
        <f>VLOOKUP(J346,J$1:$L$601,1,FALSE)</f>
        <v>MUMBAI</v>
      </c>
      <c r="AI350" s="6" t="str">
        <f>VLOOKUP(K346,K$1:$L$601,1,FALSE)</f>
        <v>B2B</v>
      </c>
      <c r="AJ350" s="6">
        <f>VLOOKUP(L346,L$1:$L$601,1,FALSE)</f>
        <v>2143.4</v>
      </c>
    </row>
    <row r="351" spans="1:36" x14ac:dyDescent="0.25">
      <c r="A351">
        <v>1368</v>
      </c>
      <c r="B351" t="s">
        <v>401</v>
      </c>
      <c r="C351" t="s">
        <v>36</v>
      </c>
      <c r="D351" t="s">
        <v>71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19</v>
      </c>
      <c r="K351" t="s">
        <v>16</v>
      </c>
      <c r="L351" s="2">
        <v>-20.09</v>
      </c>
      <c r="Y351" s="6">
        <f>VLOOKUP(A347,A$1:$L$601,1,FALSE)</f>
        <v>1364</v>
      </c>
      <c r="Z351" s="6" t="str">
        <f>VLOOKUP(B347,B$1:$L$601,1,FALSE)</f>
        <v>Leah Madden</v>
      </c>
      <c r="AA351" s="6" t="str">
        <f>VLOOKUP(C347,C$1:$L$601,1,FALSE)</f>
        <v>T-Shirts</v>
      </c>
      <c r="AB351" s="6" t="str">
        <f>VLOOKUP(D347,D$1:$L$601,1,FALSE)</f>
        <v>Classic Tee</v>
      </c>
      <c r="AC351" s="6">
        <f>VLOOKUP(E347,E$1:$L$601,1,FALSE)</f>
        <v>1.5178571428571428</v>
      </c>
      <c r="AD351" s="6">
        <f>VLOOKUP(F347,F$1:$L$601,1,FALSE)</f>
        <v>2742.2927659574466</v>
      </c>
      <c r="AE351" s="6">
        <f>VLOOKUP(G347,G$1:$L$601,1,FALSE)</f>
        <v>0.01</v>
      </c>
      <c r="AF351" s="6">
        <f>VLOOKUP(H347,H$1:$L$601,1,FALSE)</f>
        <v>0</v>
      </c>
      <c r="AG351" s="6">
        <f>VLOOKUP(I347,I$1:$L$601,1,FALSE)</f>
        <v>45626.838268792708</v>
      </c>
      <c r="AH351" s="6" t="str">
        <f>VLOOKUP(J347,J$1:$L$601,1,FALSE)</f>
        <v>AHMEDABAD</v>
      </c>
      <c r="AI351" s="6" t="str">
        <f>VLOOKUP(K347,K$1:$L$601,1,FALSE)</f>
        <v>B2C</v>
      </c>
      <c r="AJ351" s="6">
        <f>VLOOKUP(L347,L$1:$L$601,1,FALSE)</f>
        <v>1839.35</v>
      </c>
    </row>
    <row r="352" spans="1:36" x14ac:dyDescent="0.25">
      <c r="A352">
        <v>1369</v>
      </c>
      <c r="B352" t="s">
        <v>402</v>
      </c>
      <c r="C352" t="s">
        <v>31</v>
      </c>
      <c r="D352" t="s">
        <v>140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33</v>
      </c>
      <c r="K352" t="s">
        <v>16</v>
      </c>
      <c r="L352" s="2">
        <v>-844.78</v>
      </c>
      <c r="Y352" s="6">
        <f>VLOOKUP(A348,A$1:$L$601,1,FALSE)</f>
        <v>1365</v>
      </c>
      <c r="Z352" s="6" t="str">
        <f>VLOOKUP(B348,B$1:$L$601,1,FALSE)</f>
        <v>Shawn Gardner</v>
      </c>
      <c r="AA352" s="6" t="str">
        <f>VLOOKUP(C348,C$1:$L$601,1,FALSE)</f>
        <v>Dresses</v>
      </c>
      <c r="AB352" s="6" t="str">
        <f>VLOOKUP(D348,D$1:$L$601,1,FALSE)</f>
        <v>Maxi Dress</v>
      </c>
      <c r="AC352" s="6">
        <f>VLOOKUP(E348,E$1:$L$601,1,FALSE)</f>
        <v>1</v>
      </c>
      <c r="AD352" s="6">
        <f>VLOOKUP(F348,F$1:$L$601,1,FALSE)</f>
        <v>776.52</v>
      </c>
      <c r="AE352" s="6">
        <f>VLOOKUP(G348,G$1:$L$601,1,FALSE)</f>
        <v>0.55000000000000004</v>
      </c>
      <c r="AF352" s="6">
        <f>VLOOKUP(H348,H$1:$L$601,1,FALSE)</f>
        <v>0</v>
      </c>
      <c r="AG352" s="6">
        <f>VLOOKUP(I348,I$1:$L$601,1,FALSE)</f>
        <v>45626.838268792708</v>
      </c>
      <c r="AH352" s="6" t="str">
        <f>VLOOKUP(J348,J$1:$L$601,1,FALSE)</f>
        <v>DELHI</v>
      </c>
      <c r="AI352" s="6" t="str">
        <f>VLOOKUP(K348,K$1:$L$601,1,FALSE)</f>
        <v>B2C</v>
      </c>
      <c r="AJ352" s="6">
        <f>VLOOKUP(L348,L$1:$L$601,1,FALSE)</f>
        <v>2757.77</v>
      </c>
    </row>
    <row r="353" spans="1:36" x14ac:dyDescent="0.25">
      <c r="A353">
        <v>1370</v>
      </c>
      <c r="B353" t="s">
        <v>403</v>
      </c>
      <c r="C353" t="s">
        <v>41</v>
      </c>
      <c r="D353" t="s">
        <v>90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33</v>
      </c>
      <c r="K353" t="s">
        <v>24</v>
      </c>
      <c r="L353" s="2">
        <v>212.66</v>
      </c>
      <c r="Y353" s="6">
        <f>VLOOKUP(A349,A$1:$L$601,1,FALSE)</f>
        <v>1366</v>
      </c>
      <c r="Z353" s="6" t="str">
        <f>VLOOKUP(B349,B$1:$L$601,1,FALSE)</f>
        <v>Karen Nunez</v>
      </c>
      <c r="AA353" s="6" t="str">
        <f>VLOOKUP(C349,C$1:$L$601,1,FALSE)</f>
        <v>Dresses</v>
      </c>
      <c r="AB353" s="6" t="str">
        <f>VLOOKUP(D349,D$1:$L$601,1,FALSE)</f>
        <v>Bodycon</v>
      </c>
      <c r="AC353" s="6">
        <f>VLOOKUP(E349,E$1:$L$601,1,FALSE)</f>
        <v>2.1864406779661016</v>
      </c>
      <c r="AD353" s="6">
        <f>VLOOKUP(F349,F$1:$L$601,1,FALSE)</f>
        <v>1927.12</v>
      </c>
      <c r="AE353" s="6">
        <f>VLOOKUP(G349,G$1:$L$601,1,FALSE)</f>
        <v>0.44</v>
      </c>
      <c r="AF353" s="6">
        <f>VLOOKUP(H349,H$1:$L$601,1,FALSE)</f>
        <v>0</v>
      </c>
      <c r="AG353" s="6">
        <f>VLOOKUP(I349,I$1:$L$601,1,FALSE)</f>
        <v>45517</v>
      </c>
      <c r="AH353" s="6" t="str">
        <f>VLOOKUP(J349,J$1:$L$601,1,FALSE)</f>
        <v>BANGALORE</v>
      </c>
      <c r="AI353" s="6" t="str">
        <f>VLOOKUP(K349,K$1:$L$601,1,FALSE)</f>
        <v>B2C</v>
      </c>
      <c r="AJ353" s="6">
        <f>VLOOKUP(L349,L$1:$L$601,1,FALSE)</f>
        <v>928.57</v>
      </c>
    </row>
    <row r="354" spans="1:36" x14ac:dyDescent="0.25">
      <c r="A354">
        <v>1371</v>
      </c>
      <c r="B354" t="s">
        <v>404</v>
      </c>
      <c r="C354" t="s">
        <v>13</v>
      </c>
      <c r="D354" t="s">
        <v>101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23</v>
      </c>
      <c r="K354" t="s">
        <v>24</v>
      </c>
      <c r="L354" s="2">
        <v>72.959999999999994</v>
      </c>
      <c r="Y354" s="6">
        <f>VLOOKUP(A350,A$1:$L$601,1,FALSE)</f>
        <v>1367</v>
      </c>
      <c r="Z354" s="6" t="str">
        <f>VLOOKUP(B350,B$1:$L$601,1,FALSE)</f>
        <v>Laura Johnson</v>
      </c>
      <c r="AA354" s="6" t="str">
        <f>VLOOKUP(C350,C$1:$L$601,1,FALSE)</f>
        <v>Accessories</v>
      </c>
      <c r="AB354" s="6" t="str">
        <f>VLOOKUP(D350,D$1:$L$601,1,FALSE)</f>
        <v>Caps</v>
      </c>
      <c r="AC354" s="6">
        <f>VLOOKUP(E350,E$1:$L$601,1,FALSE)</f>
        <v>2.4893617021276597</v>
      </c>
      <c r="AD354" s="6">
        <f>VLOOKUP(F350,F$1:$L$601,1,FALSE)</f>
        <v>573.79999999999995</v>
      </c>
      <c r="AE354" s="6">
        <f>VLOOKUP(G350,G$1:$L$601,1,FALSE)</f>
        <v>0.70297297297297334</v>
      </c>
      <c r="AF354" s="6">
        <f>VLOOKUP(H350,H$1:$L$601,1,FALSE)</f>
        <v>0</v>
      </c>
      <c r="AG354" s="6">
        <f>VLOOKUP(I350,I$1:$L$601,1,FALSE)</f>
        <v>45680</v>
      </c>
      <c r="AH354" s="6" t="str">
        <f>VLOOKUP(J350,J$1:$L$601,1,FALSE)</f>
        <v>AHMEDABAD</v>
      </c>
      <c r="AI354" s="6" t="str">
        <f>VLOOKUP(K350,K$1:$L$601,1,FALSE)</f>
        <v>B2B</v>
      </c>
      <c r="AJ354" s="6">
        <f>VLOOKUP(L350,L$1:$L$601,1,FALSE)</f>
        <v>2546.35</v>
      </c>
    </row>
    <row r="355" spans="1:36" x14ac:dyDescent="0.25">
      <c r="A355">
        <v>1372</v>
      </c>
      <c r="B355" t="s">
        <v>405</v>
      </c>
      <c r="C355" t="s">
        <v>31</v>
      </c>
      <c r="D355" t="s">
        <v>44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  <c r="Y355" s="6">
        <f>VLOOKUP(A351,A$1:$L$601,1,FALSE)</f>
        <v>1368</v>
      </c>
      <c r="Z355" s="6" t="str">
        <f>VLOOKUP(B351,B$1:$L$601,1,FALSE)</f>
        <v>Lauren Kaufman</v>
      </c>
      <c r="AA355" s="6" t="str">
        <f>VLOOKUP(C351,C$1:$L$601,1,FALSE)</f>
        <v>T-Shirts</v>
      </c>
      <c r="AB355" s="6" t="str">
        <f>VLOOKUP(D351,D$1:$L$601,1,FALSE)</f>
        <v>Classic Tee</v>
      </c>
      <c r="AC355" s="6">
        <f>VLOOKUP(E351,E$1:$L$601,1,FALSE)</f>
        <v>4</v>
      </c>
      <c r="AD355" s="6">
        <f>VLOOKUP(F351,F$1:$L$601,1,FALSE)</f>
        <v>4032.95</v>
      </c>
      <c r="AE355" s="6">
        <f>VLOOKUP(G351,G$1:$L$601,1,FALSE)</f>
        <v>0.65787878787878773</v>
      </c>
      <c r="AF355" s="6">
        <f>VLOOKUP(H351,H$1:$L$601,1,FALSE)</f>
        <v>0</v>
      </c>
      <c r="AG355" s="6">
        <f>VLOOKUP(I351,I$1:$L$601,1,FALSE)</f>
        <v>45626.838268792708</v>
      </c>
      <c r="AH355" s="6" t="str">
        <f>VLOOKUP(J351,J$1:$L$601,1,FALSE)</f>
        <v>AHMEDABAD</v>
      </c>
      <c r="AI355" s="6" t="str">
        <f>VLOOKUP(K351,K$1:$L$601,1,FALSE)</f>
        <v>B2C</v>
      </c>
      <c r="AJ355" s="6">
        <f>VLOOKUP(L351,L$1:$L$601,1,FALSE)</f>
        <v>-20.09</v>
      </c>
    </row>
    <row r="356" spans="1:36" x14ac:dyDescent="0.25">
      <c r="A356">
        <v>1373</v>
      </c>
      <c r="B356" t="s">
        <v>406</v>
      </c>
      <c r="C356" t="s">
        <v>21</v>
      </c>
      <c r="D356" t="s">
        <v>121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  <c r="Y356" s="6">
        <f>VLOOKUP(A352,A$1:$L$601,1,FALSE)</f>
        <v>1369</v>
      </c>
      <c r="Z356" s="6" t="str">
        <f>VLOOKUP(B352,B$1:$L$601,1,FALSE)</f>
        <v>Patricia Pratt</v>
      </c>
      <c r="AA356" s="6" t="str">
        <f>VLOOKUP(C352,C$1:$L$601,1,FALSE)</f>
        <v>Accessories</v>
      </c>
      <c r="AB356" s="6" t="str">
        <f>VLOOKUP(D352,D$1:$L$601,1,FALSE)</f>
        <v>Caps</v>
      </c>
      <c r="AC356" s="6">
        <f>VLOOKUP(E352,E$1:$L$601,1,FALSE)</f>
        <v>2.4893617021276597</v>
      </c>
      <c r="AD356" s="6">
        <f>VLOOKUP(F352,F$1:$L$601,1,FALSE)</f>
        <v>2706.1301960784322</v>
      </c>
      <c r="AE356" s="6">
        <f>VLOOKUP(G352,G$1:$L$601,1,FALSE)</f>
        <v>1.1000000000000001E-2</v>
      </c>
      <c r="AF356" s="6">
        <f>VLOOKUP(H352,H$1:$L$601,1,FALSE)</f>
        <v>0</v>
      </c>
      <c r="AG356" s="6">
        <f>VLOOKUP(I352,I$1:$L$601,1,FALSE)</f>
        <v>45936</v>
      </c>
      <c r="AH356" s="6" t="str">
        <f>VLOOKUP(J352,J$1:$L$601,1,FALSE)</f>
        <v>HYDERBAD</v>
      </c>
      <c r="AI356" s="6" t="str">
        <f>VLOOKUP(K352,K$1:$L$601,1,FALSE)</f>
        <v>B2C</v>
      </c>
      <c r="AJ356" s="6">
        <f>VLOOKUP(L352,L$1:$L$601,1,FALSE)</f>
        <v>-844.78</v>
      </c>
    </row>
    <row r="357" spans="1:36" x14ac:dyDescent="0.25">
      <c r="A357">
        <v>1374</v>
      </c>
      <c r="B357" t="s">
        <v>407</v>
      </c>
      <c r="C357" t="s">
        <v>36</v>
      </c>
      <c r="D357" t="s">
        <v>71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29</v>
      </c>
      <c r="K357" t="s">
        <v>16</v>
      </c>
      <c r="L357" s="2">
        <v>2519.16</v>
      </c>
      <c r="Y357" s="6">
        <f>VLOOKUP(A353,A$1:$L$601,1,FALSE)</f>
        <v>1370</v>
      </c>
      <c r="Z357" s="6" t="str">
        <f>VLOOKUP(B353,B$1:$L$601,1,FALSE)</f>
        <v>Brandon Williams</v>
      </c>
      <c r="AA357" s="6" t="str">
        <f>VLOOKUP(C353,C$1:$L$601,1,FALSE)</f>
        <v>Dresses</v>
      </c>
      <c r="AB357" s="6" t="str">
        <f>VLOOKUP(D353,D$1:$L$601,1,FALSE)</f>
        <v>Bodycon</v>
      </c>
      <c r="AC357" s="6">
        <f>VLOOKUP(E353,E$1:$L$601,1,FALSE)</f>
        <v>1.5178571428571428</v>
      </c>
      <c r="AD357" s="6">
        <f>VLOOKUP(F353,F$1:$L$601,1,FALSE)</f>
        <v>2345.4899999999998</v>
      </c>
      <c r="AE357" s="6">
        <f>VLOOKUP(G353,G$1:$L$601,1,FALSE)</f>
        <v>1.18E-2</v>
      </c>
      <c r="AF357" s="6">
        <f>VLOOKUP(H353,H$1:$L$601,1,FALSE)</f>
        <v>844.38</v>
      </c>
      <c r="AG357" s="6">
        <f>VLOOKUP(I353,I$1:$L$601,1,FALSE)</f>
        <v>45620</v>
      </c>
      <c r="AH357" s="6" t="str">
        <f>VLOOKUP(J353,J$1:$L$601,1,FALSE)</f>
        <v>HYDERBAD</v>
      </c>
      <c r="AI357" s="6" t="str">
        <f>VLOOKUP(K353,K$1:$L$601,1,FALSE)</f>
        <v>B2B</v>
      </c>
      <c r="AJ357" s="6">
        <f>VLOOKUP(L353,L$1:$L$601,1,FALSE)</f>
        <v>212.66</v>
      </c>
    </row>
    <row r="358" spans="1:36" x14ac:dyDescent="0.25">
      <c r="A358">
        <v>1375</v>
      </c>
      <c r="B358" t="s">
        <v>408</v>
      </c>
      <c r="C358" t="s">
        <v>13</v>
      </c>
      <c r="D358" t="s">
        <v>51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33</v>
      </c>
      <c r="K358" t="s">
        <v>16</v>
      </c>
      <c r="L358" s="2">
        <v>1318.19</v>
      </c>
      <c r="Y358" s="6">
        <f>VLOOKUP(A354,A$1:$L$601,1,FALSE)</f>
        <v>1371</v>
      </c>
      <c r="Z358" s="6" t="str">
        <f>VLOOKUP(B354,B$1:$L$601,1,FALSE)</f>
        <v>Christopher Wilson</v>
      </c>
      <c r="AA358" s="6" t="str">
        <f>VLOOKUP(C354,C$1:$L$601,1,FALSE)</f>
        <v>Jeans</v>
      </c>
      <c r="AB358" s="6" t="str">
        <f>VLOOKUP(D354,D$1:$L$601,1,FALSE)</f>
        <v>Ripped Denim</v>
      </c>
      <c r="AC358" s="6">
        <f>VLOOKUP(E354,E$1:$L$601,1,FALSE)</f>
        <v>2.1052631578947367</v>
      </c>
      <c r="AD358" s="6">
        <f>VLOOKUP(F354,F$1:$L$601,1,FALSE)</f>
        <v>2676.4254237288142</v>
      </c>
      <c r="AE358" s="6">
        <f>VLOOKUP(G354,G$1:$L$601,1,FALSE)</f>
        <v>0.58977272727272723</v>
      </c>
      <c r="AF358" s="6">
        <f>VLOOKUP(H354,H$1:$L$601,1,FALSE)</f>
        <v>0</v>
      </c>
      <c r="AG358" s="6">
        <f>VLOOKUP(I354,I$1:$L$601,1,FALSE)</f>
        <v>45626.838268792708</v>
      </c>
      <c r="AH358" s="6" t="str">
        <f>VLOOKUP(J354,J$1:$L$601,1,FALSE)</f>
        <v>MUMBAI</v>
      </c>
      <c r="AI358" s="6" t="str">
        <f>VLOOKUP(K354,K$1:$L$601,1,FALSE)</f>
        <v>B2B</v>
      </c>
      <c r="AJ358" s="6">
        <f>VLOOKUP(L354,L$1:$L$601,1,FALSE)</f>
        <v>72.959999999999994</v>
      </c>
    </row>
    <row r="359" spans="1:36" x14ac:dyDescent="0.25">
      <c r="A359">
        <v>1376</v>
      </c>
      <c r="B359" t="s">
        <v>409</v>
      </c>
      <c r="C359" t="s">
        <v>31</v>
      </c>
      <c r="D359" t="s">
        <v>140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33</v>
      </c>
      <c r="K359" t="s">
        <v>24</v>
      </c>
      <c r="L359" s="2">
        <v>175.33</v>
      </c>
      <c r="Y359" s="6">
        <f>VLOOKUP(A355,A$1:$L$601,1,FALSE)</f>
        <v>1372</v>
      </c>
      <c r="Z359" s="6" t="str">
        <f>VLOOKUP(B355,B$1:$L$601,1,FALSE)</f>
        <v>Ryan Gonzalez</v>
      </c>
      <c r="AA359" s="6" t="str">
        <f>VLOOKUP(C355,C$1:$L$601,1,FALSE)</f>
        <v>Accessories</v>
      </c>
      <c r="AB359" s="6" t="str">
        <f>VLOOKUP(D355,D$1:$L$601,1,FALSE)</f>
        <v>Sunglasses</v>
      </c>
      <c r="AC359" s="6">
        <f>VLOOKUP(E355,E$1:$L$601,1,FALSE)</f>
        <v>1</v>
      </c>
      <c r="AD359" s="6">
        <f>VLOOKUP(F355,F$1:$L$601,1,FALSE)</f>
        <v>2706.1301960784322</v>
      </c>
      <c r="AE359" s="6">
        <f>VLOOKUP(G355,G$1:$L$601,1,FALSE)</f>
        <v>0.19</v>
      </c>
      <c r="AF359" s="6">
        <f>VLOOKUP(H355,H$1:$L$601,1,FALSE)</f>
        <v>0</v>
      </c>
      <c r="AG359" s="6">
        <f>VLOOKUP(I355,I$1:$L$601,1,FALSE)</f>
        <v>45652</v>
      </c>
      <c r="AH359" s="6" t="str">
        <f>VLOOKUP(J355,J$1:$L$601,1,FALSE)</f>
        <v>DELHI</v>
      </c>
      <c r="AI359" s="6" t="str">
        <f>VLOOKUP(K355,K$1:$L$601,1,FALSE)</f>
        <v>B2C</v>
      </c>
      <c r="AJ359" s="6">
        <f>VLOOKUP(L355,L$1:$L$601,1,FALSE)</f>
        <v>418.89</v>
      </c>
    </row>
    <row r="360" spans="1:36" x14ac:dyDescent="0.25">
      <c r="A360">
        <v>1377</v>
      </c>
      <c r="B360" t="s">
        <v>410</v>
      </c>
      <c r="C360" t="s">
        <v>21</v>
      </c>
      <c r="D360" t="s">
        <v>87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29</v>
      </c>
      <c r="K360" t="s">
        <v>24</v>
      </c>
      <c r="L360" s="2">
        <v>2229.9499999999998</v>
      </c>
      <c r="Y360" s="6">
        <f>VLOOKUP(A356,A$1:$L$601,1,FALSE)</f>
        <v>1373</v>
      </c>
      <c r="Z360" s="6" t="str">
        <f>VLOOKUP(B356,B$1:$L$601,1,FALSE)</f>
        <v>Lisa Morton</v>
      </c>
      <c r="AA360" s="6" t="str">
        <f>VLOOKUP(C356,C$1:$L$601,1,FALSE)</f>
        <v>Jackets</v>
      </c>
      <c r="AB360" s="6" t="str">
        <f>VLOOKUP(D356,D$1:$L$601,1,FALSE)</f>
        <v>Leather Jacket</v>
      </c>
      <c r="AC360" s="6">
        <f>VLOOKUP(E356,E$1:$L$601,1,FALSE)</f>
        <v>1.5178571428571428</v>
      </c>
      <c r="AD360" s="6">
        <f>VLOOKUP(F356,F$1:$L$601,1,FALSE)</f>
        <v>3523.43</v>
      </c>
      <c r="AE360" s="6">
        <f>VLOOKUP(G356,G$1:$L$601,1,FALSE)</f>
        <v>0.19</v>
      </c>
      <c r="AF360" s="6">
        <f>VLOOKUP(H356,H$1:$L$601,1,FALSE)</f>
        <v>-5707.96</v>
      </c>
      <c r="AG360" s="6">
        <f>VLOOKUP(I356,I$1:$L$601,1,FALSE)</f>
        <v>45626.838268792708</v>
      </c>
      <c r="AH360" s="6" t="str">
        <f>VLOOKUP(J356,J$1:$L$601,1,FALSE)</f>
        <v>DELHI</v>
      </c>
      <c r="AI360" s="6" t="str">
        <f>VLOOKUP(K356,K$1:$L$601,1,FALSE)</f>
        <v>B2C</v>
      </c>
      <c r="AJ360" s="6">
        <f>VLOOKUP(L356,L$1:$L$601,1,FALSE)</f>
        <v>-892.76</v>
      </c>
    </row>
    <row r="361" spans="1:36" x14ac:dyDescent="0.25">
      <c r="A361">
        <v>1378</v>
      </c>
      <c r="B361" t="s">
        <v>411</v>
      </c>
      <c r="C361" t="s">
        <v>21</v>
      </c>
      <c r="D361" t="s">
        <v>22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29</v>
      </c>
      <c r="K361" t="s">
        <v>16</v>
      </c>
      <c r="L361" s="2">
        <v>-345.1</v>
      </c>
      <c r="Y361" s="6">
        <f>VLOOKUP(A357,A$1:$L$601,1,FALSE)</f>
        <v>1374</v>
      </c>
      <c r="Z361" s="6" t="str">
        <f>VLOOKUP(B357,B$1:$L$601,1,FALSE)</f>
        <v>Nicholas Lee</v>
      </c>
      <c r="AA361" s="6" t="str">
        <f>VLOOKUP(C357,C$1:$L$601,1,FALSE)</f>
        <v>T-Shirts</v>
      </c>
      <c r="AB361" s="6" t="str">
        <f>VLOOKUP(D357,D$1:$L$601,1,FALSE)</f>
        <v>Classic Tee</v>
      </c>
      <c r="AC361" s="6">
        <f>VLOOKUP(E357,E$1:$L$601,1,FALSE)</f>
        <v>1</v>
      </c>
      <c r="AD361" s="6">
        <f>VLOOKUP(F357,F$1:$L$601,1,FALSE)</f>
        <v>2742.2927659574466</v>
      </c>
      <c r="AE361" s="6">
        <f>VLOOKUP(G357,G$1:$L$601,1,FALSE)</f>
        <v>0.65787878787878773</v>
      </c>
      <c r="AF361" s="6">
        <f>VLOOKUP(H357,H$1:$L$601,1,FALSE)</f>
        <v>0</v>
      </c>
      <c r="AG361" s="6">
        <f>VLOOKUP(I357,I$1:$L$601,1,FALSE)</f>
        <v>45335</v>
      </c>
      <c r="AH361" s="6" t="str">
        <f>VLOOKUP(J357,J$1:$L$601,1,FALSE)</f>
        <v>BANGALORE</v>
      </c>
      <c r="AI361" s="6" t="str">
        <f>VLOOKUP(K357,K$1:$L$601,1,FALSE)</f>
        <v>B2C</v>
      </c>
      <c r="AJ361" s="6">
        <f>VLOOKUP(L357,L$1:$L$601,1,FALSE)</f>
        <v>2519.16</v>
      </c>
    </row>
    <row r="362" spans="1:36" x14ac:dyDescent="0.25">
      <c r="A362">
        <v>1380</v>
      </c>
      <c r="B362" t="s">
        <v>412</v>
      </c>
      <c r="C362" t="s">
        <v>41</v>
      </c>
      <c r="D362" t="s">
        <v>90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24</v>
      </c>
      <c r="L362" s="2">
        <v>-475.94</v>
      </c>
      <c r="Y362" s="6">
        <f>VLOOKUP(A358,A$1:$L$601,1,FALSE)</f>
        <v>1375</v>
      </c>
      <c r="Z362" s="6" t="str">
        <f>VLOOKUP(B358,B$1:$L$601,1,FALSE)</f>
        <v>Kelly Vang</v>
      </c>
      <c r="AA362" s="6" t="str">
        <f>VLOOKUP(C358,C$1:$L$601,1,FALSE)</f>
        <v>Jeans</v>
      </c>
      <c r="AB362" s="6" t="str">
        <f>VLOOKUP(D358,D$1:$L$601,1,FALSE)</f>
        <v>Straight Cut</v>
      </c>
      <c r="AC362" s="6">
        <f>VLOOKUP(E358,E$1:$L$601,1,FALSE)</f>
        <v>3</v>
      </c>
      <c r="AD362" s="6">
        <f>VLOOKUP(F358,F$1:$L$601,1,FALSE)</f>
        <v>420.42</v>
      </c>
      <c r="AE362" s="6">
        <f>VLOOKUP(G358,G$1:$L$601,1,FALSE)</f>
        <v>0.58977272727272723</v>
      </c>
      <c r="AF362" s="6">
        <f>VLOOKUP(H358,H$1:$L$601,1,FALSE)</f>
        <v>0</v>
      </c>
      <c r="AG362" s="6">
        <f>VLOOKUP(I358,I$1:$L$601,1,FALSE)</f>
        <v>45626.838268792708</v>
      </c>
      <c r="AH362" s="6" t="str">
        <f>VLOOKUP(J358,J$1:$L$601,1,FALSE)</f>
        <v>HYDERBAD</v>
      </c>
      <c r="AI362" s="6" t="str">
        <f>VLOOKUP(K358,K$1:$L$601,1,FALSE)</f>
        <v>B2C</v>
      </c>
      <c r="AJ362" s="6">
        <f>VLOOKUP(L358,L$1:$L$601,1,FALSE)</f>
        <v>1318.19</v>
      </c>
    </row>
    <row r="363" spans="1:36" x14ac:dyDescent="0.25">
      <c r="A363">
        <v>1381</v>
      </c>
      <c r="B363" t="s">
        <v>413</v>
      </c>
      <c r="C363" t="s">
        <v>13</v>
      </c>
      <c r="D363" t="s">
        <v>101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29</v>
      </c>
      <c r="K363" t="s">
        <v>16</v>
      </c>
      <c r="L363" s="2">
        <v>-136.30000000000001</v>
      </c>
      <c r="Y363" s="6">
        <f>VLOOKUP(A359,A$1:$L$601,1,FALSE)</f>
        <v>1376</v>
      </c>
      <c r="Z363" s="6" t="str">
        <f>VLOOKUP(B359,B$1:$L$601,1,FALSE)</f>
        <v>Megan Smith</v>
      </c>
      <c r="AA363" s="6" t="str">
        <f>VLOOKUP(C359,C$1:$L$601,1,FALSE)</f>
        <v>Accessories</v>
      </c>
      <c r="AB363" s="6" t="str">
        <f>VLOOKUP(D359,D$1:$L$601,1,FALSE)</f>
        <v>Caps</v>
      </c>
      <c r="AC363" s="6">
        <f>VLOOKUP(E359,E$1:$L$601,1,FALSE)</f>
        <v>4</v>
      </c>
      <c r="AD363" s="6">
        <f>VLOOKUP(F359,F$1:$L$601,1,FALSE)</f>
        <v>1447.28</v>
      </c>
      <c r="AE363" s="6">
        <f>VLOOKUP(G359,G$1:$L$601,1,FALSE)</f>
        <v>0.70297297297297334</v>
      </c>
      <c r="AF363" s="6">
        <f>VLOOKUP(H359,H$1:$L$601,1,FALSE)</f>
        <v>0</v>
      </c>
      <c r="AG363" s="6">
        <f>VLOOKUP(I359,I$1:$L$601,1,FALSE)</f>
        <v>45500</v>
      </c>
      <c r="AH363" s="6" t="str">
        <f>VLOOKUP(J359,J$1:$L$601,1,FALSE)</f>
        <v>HYDERBAD</v>
      </c>
      <c r="AI363" s="6" t="str">
        <f>VLOOKUP(K359,K$1:$L$601,1,FALSE)</f>
        <v>B2B</v>
      </c>
      <c r="AJ363" s="6">
        <f>VLOOKUP(L359,L$1:$L$601,1,FALSE)</f>
        <v>175.33</v>
      </c>
    </row>
    <row r="364" spans="1:36" x14ac:dyDescent="0.25">
      <c r="A364">
        <v>1382</v>
      </c>
      <c r="B364" t="s">
        <v>414</v>
      </c>
      <c r="C364" t="s">
        <v>13</v>
      </c>
      <c r="D364" t="s">
        <v>39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29</v>
      </c>
      <c r="K364" t="s">
        <v>24</v>
      </c>
      <c r="L364" s="2">
        <v>-165.59</v>
      </c>
      <c r="Y364" s="6">
        <f>VLOOKUP(A360,A$1:$L$601,1,FALSE)</f>
        <v>1377</v>
      </c>
      <c r="Z364" s="6" t="str">
        <f>VLOOKUP(B360,B$1:$L$601,1,FALSE)</f>
        <v>Mark Matthews</v>
      </c>
      <c r="AA364" s="6" t="str">
        <f>VLOOKUP(C360,C$1:$L$601,1,FALSE)</f>
        <v>Jackets</v>
      </c>
      <c r="AB364" s="6" t="str">
        <f>VLOOKUP(D360,D$1:$L$601,1,FALSE)</f>
        <v>Denim Jacket</v>
      </c>
      <c r="AC364" s="6">
        <f>VLOOKUP(E360,E$1:$L$601,1,FALSE)</f>
        <v>0</v>
      </c>
      <c r="AD364" s="6">
        <f>VLOOKUP(F360,F$1:$L$601,1,FALSE)</f>
        <v>2811.5702272727276</v>
      </c>
      <c r="AE364" s="6">
        <f>VLOOKUP(G360,G$1:$L$601,1,FALSE)</f>
        <v>0.65</v>
      </c>
      <c r="AF364" s="6">
        <f>VLOOKUP(H360,H$1:$L$601,1,FALSE)</f>
        <v>0</v>
      </c>
      <c r="AG364" s="6">
        <f>VLOOKUP(I360,I$1:$L$601,1,FALSE)</f>
        <v>45626.838268792708</v>
      </c>
      <c r="AH364" s="6" t="str">
        <f>VLOOKUP(J360,J$1:$L$601,1,FALSE)</f>
        <v>BANGALORE</v>
      </c>
      <c r="AI364" s="6" t="str">
        <f>VLOOKUP(K360,K$1:$L$601,1,FALSE)</f>
        <v>B2B</v>
      </c>
      <c r="AJ364" s="6">
        <f>VLOOKUP(L360,L$1:$L$601,1,FALSE)</f>
        <v>2229.9499999999998</v>
      </c>
    </row>
    <row r="365" spans="1:36" x14ac:dyDescent="0.25">
      <c r="A365">
        <v>1383</v>
      </c>
      <c r="B365" t="s">
        <v>415</v>
      </c>
      <c r="C365" t="s">
        <v>41</v>
      </c>
      <c r="D365" t="s">
        <v>59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48</v>
      </c>
      <c r="K365" t="s">
        <v>16</v>
      </c>
      <c r="L365" s="2">
        <v>127.63</v>
      </c>
      <c r="Y365" s="6">
        <f>VLOOKUP(A361,A$1:$L$601,1,FALSE)</f>
        <v>1378</v>
      </c>
      <c r="Z365" s="6" t="str">
        <f>VLOOKUP(B361,B$1:$L$601,1,FALSE)</f>
        <v>Melissa Hale</v>
      </c>
      <c r="AA365" s="6" t="str">
        <f>VLOOKUP(C361,C$1:$L$601,1,FALSE)</f>
        <v>Jackets</v>
      </c>
      <c r="AB365" s="6" t="str">
        <f>VLOOKUP(D361,D$1:$L$601,1,FALSE)</f>
        <v>Puffer Coat</v>
      </c>
      <c r="AC365" s="6">
        <f>VLOOKUP(E361,E$1:$L$601,1,FALSE)</f>
        <v>5</v>
      </c>
      <c r="AD365" s="6">
        <f>VLOOKUP(F361,F$1:$L$601,1,FALSE)</f>
        <v>4581.26</v>
      </c>
      <c r="AE365" s="6">
        <f>VLOOKUP(G361,G$1:$L$601,1,FALSE)</f>
        <v>1.18E-2</v>
      </c>
      <c r="AF365" s="6">
        <f>VLOOKUP(H361,H$1:$L$601,1,FALSE)</f>
        <v>-4123.13</v>
      </c>
      <c r="AG365" s="6">
        <f>VLOOKUP(I361,I$1:$L$601,1,FALSE)</f>
        <v>45679</v>
      </c>
      <c r="AH365" s="6" t="str">
        <f>VLOOKUP(J361,J$1:$L$601,1,FALSE)</f>
        <v>BANGALORE</v>
      </c>
      <c r="AI365" s="6" t="str">
        <f>VLOOKUP(K361,K$1:$L$601,1,FALSE)</f>
        <v>B2C</v>
      </c>
      <c r="AJ365" s="6">
        <f>VLOOKUP(L361,L$1:$L$601,1,FALSE)</f>
        <v>-345.1</v>
      </c>
    </row>
    <row r="366" spans="1:36" x14ac:dyDescent="0.25">
      <c r="A366">
        <v>1385</v>
      </c>
      <c r="B366" t="s">
        <v>416</v>
      </c>
      <c r="C366" t="s">
        <v>41</v>
      </c>
      <c r="D366" t="s">
        <v>63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29</v>
      </c>
      <c r="K366" t="s">
        <v>16</v>
      </c>
      <c r="L366" s="2">
        <v>2744.77</v>
      </c>
      <c r="Y366" s="6">
        <f>VLOOKUP(A362,A$1:$L$601,1,FALSE)</f>
        <v>1380</v>
      </c>
      <c r="Z366" s="6" t="str">
        <f>VLOOKUP(B362,B$1:$L$601,1,FALSE)</f>
        <v>Brittney Branch</v>
      </c>
      <c r="AA366" s="6" t="str">
        <f>VLOOKUP(C362,C$1:$L$601,1,FALSE)</f>
        <v>Dresses</v>
      </c>
      <c r="AB366" s="6" t="str">
        <f>VLOOKUP(D362,D$1:$L$601,1,FALSE)</f>
        <v>Bodycon</v>
      </c>
      <c r="AC366" s="6">
        <f>VLOOKUP(E362,E$1:$L$601,1,FALSE)</f>
        <v>2</v>
      </c>
      <c r="AD366" s="6">
        <f>VLOOKUP(F362,F$1:$L$601,1,FALSE)</f>
        <v>2949.9901960784309</v>
      </c>
      <c r="AE366" s="6">
        <f>VLOOKUP(G362,G$1:$L$601,1,FALSE)</f>
        <v>0.55000000000000004</v>
      </c>
      <c r="AF366" s="6">
        <f>VLOOKUP(H362,H$1:$L$601,1,FALSE)</f>
        <v>0</v>
      </c>
      <c r="AG366" s="6">
        <f>VLOOKUP(I362,I$1:$L$601,1,FALSE)</f>
        <v>45626.838268792708</v>
      </c>
      <c r="AH366" s="6" t="str">
        <f>VLOOKUP(J362,J$1:$L$601,1,FALSE)</f>
        <v>DELHI</v>
      </c>
      <c r="AI366" s="6" t="str">
        <f>VLOOKUP(K362,K$1:$L$601,1,FALSE)</f>
        <v>B2B</v>
      </c>
      <c r="AJ366" s="6">
        <f>VLOOKUP(L362,L$1:$L$601,1,FALSE)</f>
        <v>-475.94</v>
      </c>
    </row>
    <row r="367" spans="1:36" x14ac:dyDescent="0.25">
      <c r="A367">
        <v>1386</v>
      </c>
      <c r="B367" t="s">
        <v>417</v>
      </c>
      <c r="C367" t="s">
        <v>27</v>
      </c>
      <c r="D367" t="s">
        <v>85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24</v>
      </c>
      <c r="L367" s="2">
        <v>1669.09</v>
      </c>
      <c r="Y367" s="6">
        <f>VLOOKUP(A363,A$1:$L$601,1,FALSE)</f>
        <v>1381</v>
      </c>
      <c r="Z367" s="6" t="str">
        <f>VLOOKUP(B363,B$1:$L$601,1,FALSE)</f>
        <v>Brian Bridges</v>
      </c>
      <c r="AA367" s="6" t="str">
        <f>VLOOKUP(C363,C$1:$L$601,1,FALSE)</f>
        <v>Jeans</v>
      </c>
      <c r="AB367" s="6" t="str">
        <f>VLOOKUP(D363,D$1:$L$601,1,FALSE)</f>
        <v>Ripped Denim</v>
      </c>
      <c r="AC367" s="6">
        <f>VLOOKUP(E363,E$1:$L$601,1,FALSE)</f>
        <v>1</v>
      </c>
      <c r="AD367" s="6">
        <f>VLOOKUP(F363,F$1:$L$601,1,FALSE)</f>
        <v>2676.4254237288142</v>
      </c>
      <c r="AE367" s="6">
        <f>VLOOKUP(G363,G$1:$L$601,1,FALSE)</f>
        <v>1.0700000000000001E-2</v>
      </c>
      <c r="AF367" s="6">
        <f>VLOOKUP(H363,H$1:$L$601,1,FALSE)</f>
        <v>0</v>
      </c>
      <c r="AG367" s="6">
        <f>VLOOKUP(I363,I$1:$L$601,1,FALSE)</f>
        <v>45486</v>
      </c>
      <c r="AH367" s="6" t="str">
        <f>VLOOKUP(J363,J$1:$L$601,1,FALSE)</f>
        <v>BANGALORE</v>
      </c>
      <c r="AI367" s="6" t="str">
        <f>VLOOKUP(K363,K$1:$L$601,1,FALSE)</f>
        <v>B2C</v>
      </c>
      <c r="AJ367" s="6">
        <f>VLOOKUP(L363,L$1:$L$601,1,FALSE)</f>
        <v>-136.30000000000001</v>
      </c>
    </row>
    <row r="368" spans="1:36" x14ac:dyDescent="0.25">
      <c r="A368">
        <v>1387</v>
      </c>
      <c r="B368" t="s">
        <v>418</v>
      </c>
      <c r="C368" t="s">
        <v>21</v>
      </c>
      <c r="D368" t="s">
        <v>22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48</v>
      </c>
      <c r="K368" t="s">
        <v>16</v>
      </c>
      <c r="L368" s="2">
        <v>-505.47</v>
      </c>
      <c r="Y368" s="6">
        <f>VLOOKUP(A364,A$1:$L$601,1,FALSE)</f>
        <v>1382</v>
      </c>
      <c r="Z368" s="6" t="str">
        <f>VLOOKUP(B364,B$1:$L$601,1,FALSE)</f>
        <v>Jeffery Green</v>
      </c>
      <c r="AA368" s="6" t="str">
        <f>VLOOKUP(C364,C$1:$L$601,1,FALSE)</f>
        <v>Jeans</v>
      </c>
      <c r="AB368" s="6" t="str">
        <f>VLOOKUP(D364,D$1:$L$601,1,FALSE)</f>
        <v>Boyfriend Jeans</v>
      </c>
      <c r="AC368" s="6">
        <f>VLOOKUP(E364,E$1:$L$601,1,FALSE)</f>
        <v>1.5178571428571428</v>
      </c>
      <c r="AD368" s="6">
        <f>VLOOKUP(F364,F$1:$L$601,1,FALSE)</f>
        <v>2676.4254237288142</v>
      </c>
      <c r="AE368" s="6">
        <f>VLOOKUP(G364,G$1:$L$601,1,FALSE)</f>
        <v>0.58977272727272723</v>
      </c>
      <c r="AF368" s="6">
        <f>VLOOKUP(H364,H$1:$L$601,1,FALSE)</f>
        <v>0</v>
      </c>
      <c r="AG368" s="6">
        <f>VLOOKUP(I364,I$1:$L$601,1,FALSE)</f>
        <v>45549</v>
      </c>
      <c r="AH368" s="6" t="str">
        <f>VLOOKUP(J364,J$1:$L$601,1,FALSE)</f>
        <v>BANGALORE</v>
      </c>
      <c r="AI368" s="6" t="str">
        <f>VLOOKUP(K364,K$1:$L$601,1,FALSE)</f>
        <v>B2B</v>
      </c>
      <c r="AJ368" s="6">
        <f>VLOOKUP(L364,L$1:$L$601,1,FALSE)</f>
        <v>-165.59</v>
      </c>
    </row>
    <row r="369" spans="1:36" x14ac:dyDescent="0.25">
      <c r="A369">
        <v>1388</v>
      </c>
      <c r="B369" t="s">
        <v>419</v>
      </c>
      <c r="C369" t="s">
        <v>41</v>
      </c>
      <c r="D369" t="s">
        <v>42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  <c r="Y369" s="6">
        <f>VLOOKUP(A365,A$1:$L$601,1,FALSE)</f>
        <v>1383</v>
      </c>
      <c r="Z369" s="6" t="str">
        <f>VLOOKUP(B365,B$1:$L$601,1,FALSE)</f>
        <v>Rachel Bradford</v>
      </c>
      <c r="AA369" s="6" t="str">
        <f>VLOOKUP(C365,C$1:$L$601,1,FALSE)</f>
        <v>Dresses</v>
      </c>
      <c r="AB369" s="6" t="str">
        <f>VLOOKUP(D365,D$1:$L$601,1,FALSE)</f>
        <v>Maxi Dress</v>
      </c>
      <c r="AC369" s="6">
        <f>VLOOKUP(E365,E$1:$L$601,1,FALSE)</f>
        <v>5</v>
      </c>
      <c r="AD369" s="6">
        <f>VLOOKUP(F365,F$1:$L$601,1,FALSE)</f>
        <v>2409.13</v>
      </c>
      <c r="AE369" s="6">
        <f>VLOOKUP(G365,G$1:$L$601,1,FALSE)</f>
        <v>0.55000000000000004</v>
      </c>
      <c r="AF369" s="6">
        <f>VLOOKUP(H365,H$1:$L$601,1,FALSE)</f>
        <v>0</v>
      </c>
      <c r="AG369" s="6">
        <f>VLOOKUP(I365,I$1:$L$601,1,FALSE)</f>
        <v>45841</v>
      </c>
      <c r="AH369" s="6" t="str">
        <f>VLOOKUP(J365,J$1:$L$601,1,FALSE)</f>
        <v>PUNE</v>
      </c>
      <c r="AI369" s="6" t="str">
        <f>VLOOKUP(K365,K$1:$L$601,1,FALSE)</f>
        <v>B2C</v>
      </c>
      <c r="AJ369" s="6">
        <f>VLOOKUP(L365,L$1:$L$601,1,FALSE)</f>
        <v>127.63</v>
      </c>
    </row>
    <row r="370" spans="1:36" x14ac:dyDescent="0.25">
      <c r="A370">
        <v>1389</v>
      </c>
      <c r="B370" t="s">
        <v>420</v>
      </c>
      <c r="C370" t="s">
        <v>41</v>
      </c>
      <c r="D370" t="s">
        <v>63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19</v>
      </c>
      <c r="K370" t="s">
        <v>16</v>
      </c>
      <c r="L370" s="2">
        <v>1987.46</v>
      </c>
      <c r="Y370" s="6">
        <f>VLOOKUP(A366,A$1:$L$601,1,FALSE)</f>
        <v>1385</v>
      </c>
      <c r="Z370" s="6" t="str">
        <f>VLOOKUP(B366,B$1:$L$601,1,FALSE)</f>
        <v>Veronica Taylor</v>
      </c>
      <c r="AA370" s="6" t="str">
        <f>VLOOKUP(C366,C$1:$L$601,1,FALSE)</f>
        <v>Dresses</v>
      </c>
      <c r="AB370" s="6" t="str">
        <f>VLOOKUP(D366,D$1:$L$601,1,FALSE)</f>
        <v>Wrap Dress</v>
      </c>
      <c r="AC370" s="6">
        <f>VLOOKUP(E366,E$1:$L$601,1,FALSE)</f>
        <v>1</v>
      </c>
      <c r="AD370" s="6">
        <f>VLOOKUP(F366,F$1:$L$601,1,FALSE)</f>
        <v>2949.9901960784309</v>
      </c>
      <c r="AE370" s="6">
        <f>VLOOKUP(G366,G$1:$L$601,1,FALSE)</f>
        <v>0.55000000000000004</v>
      </c>
      <c r="AF370" s="6">
        <f>VLOOKUP(H366,H$1:$L$601,1,FALSE)</f>
        <v>0</v>
      </c>
      <c r="AG370" s="6">
        <f>VLOOKUP(I366,I$1:$L$601,1,FALSE)</f>
        <v>45626.838268792708</v>
      </c>
      <c r="AH370" s="6" t="str">
        <f>VLOOKUP(J366,J$1:$L$601,1,FALSE)</f>
        <v>BANGALORE</v>
      </c>
      <c r="AI370" s="6" t="str">
        <f>VLOOKUP(K366,K$1:$L$601,1,FALSE)</f>
        <v>B2C</v>
      </c>
      <c r="AJ370" s="6">
        <f>VLOOKUP(L366,L$1:$L$601,1,FALSE)</f>
        <v>2744.77</v>
      </c>
    </row>
    <row r="371" spans="1:36" x14ac:dyDescent="0.25">
      <c r="A371">
        <v>1390</v>
      </c>
      <c r="B371" t="s">
        <v>421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48</v>
      </c>
      <c r="K371" t="s">
        <v>16</v>
      </c>
      <c r="L371" s="2">
        <v>1789.75</v>
      </c>
      <c r="Y371" s="6">
        <f>VLOOKUP(A367,A$1:$L$601,1,FALSE)</f>
        <v>1386</v>
      </c>
      <c r="Z371" s="6" t="str">
        <f>VLOOKUP(B367,B$1:$L$601,1,FALSE)</f>
        <v>Crystal Molina</v>
      </c>
      <c r="AA371" s="6" t="str">
        <f>VLOOKUP(C367,C$1:$L$601,1,FALSE)</f>
        <v>Shoes</v>
      </c>
      <c r="AB371" s="6" t="str">
        <f>VLOOKUP(D367,D$1:$L$601,1,FALSE)</f>
        <v>Boots</v>
      </c>
      <c r="AC371" s="6">
        <f>VLOOKUP(E367,E$1:$L$601,1,FALSE)</f>
        <v>5</v>
      </c>
      <c r="AD371" s="6">
        <f>VLOOKUP(F367,F$1:$L$601,1,FALSE)</f>
        <v>4439.8100000000004</v>
      </c>
      <c r="AE371" s="6">
        <f>VLOOKUP(G367,G$1:$L$601,1,FALSE)</f>
        <v>1.1000000000000001E-2</v>
      </c>
      <c r="AF371" s="6">
        <f>VLOOKUP(H367,H$1:$L$601,1,FALSE)</f>
        <v>-2219.91</v>
      </c>
      <c r="AG371" s="6">
        <f>VLOOKUP(I367,I$1:$L$601,1,FALSE)</f>
        <v>45608</v>
      </c>
      <c r="AH371" s="6" t="str">
        <f>VLOOKUP(J367,J$1:$L$601,1,FALSE)</f>
        <v>DELHI</v>
      </c>
      <c r="AI371" s="6" t="str">
        <f>VLOOKUP(K367,K$1:$L$601,1,FALSE)</f>
        <v>B2B</v>
      </c>
      <c r="AJ371" s="6">
        <f>VLOOKUP(L367,L$1:$L$601,1,FALSE)</f>
        <v>1669.09</v>
      </c>
    </row>
    <row r="372" spans="1:36" x14ac:dyDescent="0.25">
      <c r="A372">
        <v>1391</v>
      </c>
      <c r="B372" t="s">
        <v>422</v>
      </c>
      <c r="C372" t="s">
        <v>27</v>
      </c>
      <c r="D372" t="s">
        <v>65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33</v>
      </c>
      <c r="K372" t="s">
        <v>16</v>
      </c>
      <c r="L372" s="2">
        <v>418.24</v>
      </c>
      <c r="Y372" s="6">
        <f>VLOOKUP(A368,A$1:$L$601,1,FALSE)</f>
        <v>1387</v>
      </c>
      <c r="Z372" s="6" t="str">
        <f>VLOOKUP(B368,B$1:$L$601,1,FALSE)</f>
        <v>Michael White</v>
      </c>
      <c r="AA372" s="6" t="str">
        <f>VLOOKUP(C368,C$1:$L$601,1,FALSE)</f>
        <v>Jackets</v>
      </c>
      <c r="AB372" s="6" t="str">
        <f>VLOOKUP(D368,D$1:$L$601,1,FALSE)</f>
        <v>Puffer Coat</v>
      </c>
      <c r="AC372" s="6">
        <f>VLOOKUP(E368,E$1:$L$601,1,FALSE)</f>
        <v>3</v>
      </c>
      <c r="AD372" s="6">
        <f>VLOOKUP(F368,F$1:$L$601,1,FALSE)</f>
        <v>2811.5702272727276</v>
      </c>
      <c r="AE372" s="6">
        <f>VLOOKUP(G368,G$1:$L$601,1,FALSE)</f>
        <v>0.69969696969696993</v>
      </c>
      <c r="AF372" s="6">
        <f>VLOOKUP(H368,H$1:$L$601,1,FALSE)</f>
        <v>0</v>
      </c>
      <c r="AG372" s="6">
        <f>VLOOKUP(I368,I$1:$L$601,1,FALSE)</f>
        <v>45507</v>
      </c>
      <c r="AH372" s="6" t="str">
        <f>VLOOKUP(J368,J$1:$L$601,1,FALSE)</f>
        <v>PUNE</v>
      </c>
      <c r="AI372" s="6" t="str">
        <f>VLOOKUP(K368,K$1:$L$601,1,FALSE)</f>
        <v>B2C</v>
      </c>
      <c r="AJ372" s="6">
        <f>VLOOKUP(L368,L$1:$L$601,1,FALSE)</f>
        <v>-505.47</v>
      </c>
    </row>
    <row r="373" spans="1:36" x14ac:dyDescent="0.25">
      <c r="A373">
        <v>1393</v>
      </c>
      <c r="B373" t="s">
        <v>423</v>
      </c>
      <c r="C373" t="s">
        <v>21</v>
      </c>
      <c r="D373" t="s">
        <v>79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33</v>
      </c>
      <c r="K373" t="s">
        <v>16</v>
      </c>
      <c r="L373" s="2">
        <v>2001.24</v>
      </c>
      <c r="Y373" s="6">
        <f>VLOOKUP(A369,A$1:$L$601,1,FALSE)</f>
        <v>1388</v>
      </c>
      <c r="Z373" s="6" t="str">
        <f>VLOOKUP(B369,B$1:$L$601,1,FALSE)</f>
        <v>Michael Beltran</v>
      </c>
      <c r="AA373" s="6" t="str">
        <f>VLOOKUP(C369,C$1:$L$601,1,FALSE)</f>
        <v>Dresses</v>
      </c>
      <c r="AB373" s="6" t="str">
        <f>VLOOKUP(D369,D$1:$L$601,1,FALSE)</f>
        <v>Casual Midi</v>
      </c>
      <c r="AC373" s="6">
        <f>VLOOKUP(E369,E$1:$L$601,1,FALSE)</f>
        <v>4</v>
      </c>
      <c r="AD373" s="6">
        <f>VLOOKUP(F369,F$1:$L$601,1,FALSE)</f>
        <v>2949.9901960784309</v>
      </c>
      <c r="AE373" s="6">
        <f>VLOOKUP(G369,G$1:$L$601,1,FALSE)</f>
        <v>0.55000000000000004</v>
      </c>
      <c r="AF373" s="6">
        <f>VLOOKUP(H369,H$1:$L$601,1,FALSE)</f>
        <v>0</v>
      </c>
      <c r="AG373" s="6">
        <f>VLOOKUP(I369,I$1:$L$601,1,FALSE)</f>
        <v>45433</v>
      </c>
      <c r="AH373" s="6" t="str">
        <f>VLOOKUP(J369,J$1:$L$601,1,FALSE)</f>
        <v>DELHI</v>
      </c>
      <c r="AI373" s="6" t="str">
        <f>VLOOKUP(K369,K$1:$L$601,1,FALSE)</f>
        <v>B2C</v>
      </c>
      <c r="AJ373" s="6">
        <f>VLOOKUP(L369,L$1:$L$601,1,FALSE)</f>
        <v>475.79</v>
      </c>
    </row>
    <row r="374" spans="1:36" x14ac:dyDescent="0.25">
      <c r="A374">
        <v>1394</v>
      </c>
      <c r="B374" t="s">
        <v>424</v>
      </c>
      <c r="C374" t="s">
        <v>21</v>
      </c>
      <c r="D374" t="s">
        <v>79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33</v>
      </c>
      <c r="K374" t="s">
        <v>16</v>
      </c>
      <c r="L374" s="2">
        <v>2538.59</v>
      </c>
      <c r="Y374" s="6">
        <f>VLOOKUP(A370,A$1:$L$601,1,FALSE)</f>
        <v>1389</v>
      </c>
      <c r="Z374" s="6" t="str">
        <f>VLOOKUP(B370,B$1:$L$601,1,FALSE)</f>
        <v>Barbara Jones</v>
      </c>
      <c r="AA374" s="6" t="str">
        <f>VLOOKUP(C370,C$1:$L$601,1,FALSE)</f>
        <v>Dresses</v>
      </c>
      <c r="AB374" s="6" t="str">
        <f>VLOOKUP(D370,D$1:$L$601,1,FALSE)</f>
        <v>Wrap Dress</v>
      </c>
      <c r="AC374" s="6">
        <f>VLOOKUP(E370,E$1:$L$601,1,FALSE)</f>
        <v>2</v>
      </c>
      <c r="AD374" s="6">
        <f>VLOOKUP(F370,F$1:$L$601,1,FALSE)</f>
        <v>2742.38</v>
      </c>
      <c r="AE374" s="6">
        <f>VLOOKUP(G370,G$1:$L$601,1,FALSE)</f>
        <v>0.55000000000000004</v>
      </c>
      <c r="AF374" s="6">
        <f>VLOOKUP(H370,H$1:$L$601,1,FALSE)</f>
        <v>0</v>
      </c>
      <c r="AG374" s="6">
        <f>VLOOKUP(I370,I$1:$L$601,1,FALSE)</f>
        <v>45132</v>
      </c>
      <c r="AH374" s="6" t="str">
        <f>VLOOKUP(J370,J$1:$L$601,1,FALSE)</f>
        <v>AHMEDABAD</v>
      </c>
      <c r="AI374" s="6" t="str">
        <f>VLOOKUP(K370,K$1:$L$601,1,FALSE)</f>
        <v>B2C</v>
      </c>
      <c r="AJ374" s="6">
        <f>VLOOKUP(L370,L$1:$L$601,1,FALSE)</f>
        <v>1987.46</v>
      </c>
    </row>
    <row r="375" spans="1:36" x14ac:dyDescent="0.25">
      <c r="A375">
        <v>1395</v>
      </c>
      <c r="B375" t="s">
        <v>425</v>
      </c>
      <c r="C375" t="s">
        <v>41</v>
      </c>
      <c r="D375" t="s">
        <v>63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23</v>
      </c>
      <c r="K375" t="s">
        <v>24</v>
      </c>
      <c r="L375" s="2">
        <v>-357.08</v>
      </c>
      <c r="Y375" s="6">
        <f>VLOOKUP(A371,A$1:$L$601,1,FALSE)</f>
        <v>1390</v>
      </c>
      <c r="Z375" s="6" t="str">
        <f>VLOOKUP(B371,B$1:$L$601,1,FALSE)</f>
        <v>Randy Baker</v>
      </c>
      <c r="AA375" s="6" t="str">
        <f>VLOOKUP(C371,C$1:$L$601,1,FALSE)</f>
        <v>Jeans</v>
      </c>
      <c r="AB375" s="6" t="str">
        <f>VLOOKUP(D371,D$1:$L$601,1,FALSE)</f>
        <v>Slim Fit Jeans</v>
      </c>
      <c r="AC375" s="6">
        <f>VLOOKUP(E371,E$1:$L$601,1,FALSE)</f>
        <v>4</v>
      </c>
      <c r="AD375" s="6">
        <f>VLOOKUP(F371,F$1:$L$601,1,FALSE)</f>
        <v>2676.4254237288142</v>
      </c>
      <c r="AE375" s="6">
        <f>VLOOKUP(G371,G$1:$L$601,1,FALSE)</f>
        <v>0.58977272727272723</v>
      </c>
      <c r="AF375" s="6">
        <f>VLOOKUP(H371,H$1:$L$601,1,FALSE)</f>
        <v>0</v>
      </c>
      <c r="AG375" s="6">
        <f>VLOOKUP(I371,I$1:$L$601,1,FALSE)</f>
        <v>45626.838268792708</v>
      </c>
      <c r="AH375" s="6" t="str">
        <f>VLOOKUP(J371,J$1:$L$601,1,FALSE)</f>
        <v>PUNE</v>
      </c>
      <c r="AI375" s="6" t="str">
        <f>VLOOKUP(K371,K$1:$L$601,1,FALSE)</f>
        <v>B2C</v>
      </c>
      <c r="AJ375" s="6">
        <f>VLOOKUP(L371,L$1:$L$601,1,FALSE)</f>
        <v>1789.75</v>
      </c>
    </row>
    <row r="376" spans="1:36" x14ac:dyDescent="0.25">
      <c r="A376">
        <v>1396</v>
      </c>
      <c r="B376" t="s">
        <v>426</v>
      </c>
      <c r="C376" t="s">
        <v>13</v>
      </c>
      <c r="D376" t="s">
        <v>51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19</v>
      </c>
      <c r="K376" t="s">
        <v>24</v>
      </c>
      <c r="L376" s="2">
        <v>1553.44</v>
      </c>
      <c r="Y376" s="6">
        <f>VLOOKUP(A372,A$1:$L$601,1,FALSE)</f>
        <v>1391</v>
      </c>
      <c r="Z376" s="6" t="str">
        <f>VLOOKUP(B372,B$1:$L$601,1,FALSE)</f>
        <v>James Collins</v>
      </c>
      <c r="AA376" s="6" t="str">
        <f>VLOOKUP(C372,C$1:$L$601,1,FALSE)</f>
        <v>Shoes</v>
      </c>
      <c r="AB376" s="6" t="str">
        <f>VLOOKUP(D372,D$1:$L$601,1,FALSE)</f>
        <v>Slip-Ons</v>
      </c>
      <c r="AC376" s="6">
        <f>VLOOKUP(E372,E$1:$L$601,1,FALSE)</f>
        <v>0</v>
      </c>
      <c r="AD376" s="6">
        <f>VLOOKUP(F372,F$1:$L$601,1,FALSE)</f>
        <v>2213.79</v>
      </c>
      <c r="AE376" s="6">
        <f>VLOOKUP(G372,G$1:$L$601,1,FALSE)</f>
        <v>0.01</v>
      </c>
      <c r="AF376" s="6">
        <f>VLOOKUP(H372,H$1:$L$601,1,FALSE)</f>
        <v>0</v>
      </c>
      <c r="AG376" s="6">
        <f>VLOOKUP(I372,I$1:$L$601,1,FALSE)</f>
        <v>45738</v>
      </c>
      <c r="AH376" s="6" t="str">
        <f>VLOOKUP(J372,J$1:$L$601,1,FALSE)</f>
        <v>HYDERBAD</v>
      </c>
      <c r="AI376" s="6" t="str">
        <f>VLOOKUP(K372,K$1:$L$601,1,FALSE)</f>
        <v>B2C</v>
      </c>
      <c r="AJ376" s="6">
        <f>VLOOKUP(L372,L$1:$L$601,1,FALSE)</f>
        <v>418.24</v>
      </c>
    </row>
    <row r="377" spans="1:36" x14ac:dyDescent="0.25">
      <c r="A377">
        <v>1397</v>
      </c>
      <c r="B377" t="s">
        <v>427</v>
      </c>
      <c r="C377" t="s">
        <v>21</v>
      </c>
      <c r="D377" t="s">
        <v>121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29</v>
      </c>
      <c r="K377" t="s">
        <v>16</v>
      </c>
      <c r="L377" s="2">
        <v>1239.6199999999999</v>
      </c>
      <c r="Y377" s="6">
        <f>VLOOKUP(A373,A$1:$L$601,1,FALSE)</f>
        <v>1393</v>
      </c>
      <c r="Z377" s="6" t="str">
        <f>VLOOKUP(B373,B$1:$L$601,1,FALSE)</f>
        <v>Christina Hernandez</v>
      </c>
      <c r="AA377" s="6" t="str">
        <f>VLOOKUP(C373,C$1:$L$601,1,FALSE)</f>
        <v>Jackets</v>
      </c>
      <c r="AB377" s="6" t="str">
        <f>VLOOKUP(D373,D$1:$L$601,1,FALSE)</f>
        <v>Bomber Jacket</v>
      </c>
      <c r="AC377" s="6">
        <f>VLOOKUP(E373,E$1:$L$601,1,FALSE)</f>
        <v>6</v>
      </c>
      <c r="AD377" s="6">
        <f>VLOOKUP(F373,F$1:$L$601,1,FALSE)</f>
        <v>2811.5702272727276</v>
      </c>
      <c r="AE377" s="6">
        <f>VLOOKUP(G373,G$1:$L$601,1,FALSE)</f>
        <v>0.69969696969696993</v>
      </c>
      <c r="AF377" s="6">
        <f>VLOOKUP(H373,H$1:$L$601,1,FALSE)</f>
        <v>0</v>
      </c>
      <c r="AG377" s="6">
        <f>VLOOKUP(I373,I$1:$L$601,1,FALSE)</f>
        <v>45626.838268792708</v>
      </c>
      <c r="AH377" s="6" t="str">
        <f>VLOOKUP(J373,J$1:$L$601,1,FALSE)</f>
        <v>HYDERBAD</v>
      </c>
      <c r="AI377" s="6" t="str">
        <f>VLOOKUP(K373,K$1:$L$601,1,FALSE)</f>
        <v>B2C</v>
      </c>
      <c r="AJ377" s="6">
        <f>VLOOKUP(L373,L$1:$L$601,1,FALSE)</f>
        <v>2001.24</v>
      </c>
    </row>
    <row r="378" spans="1:36" x14ac:dyDescent="0.25">
      <c r="A378">
        <v>1398</v>
      </c>
      <c r="B378" t="s">
        <v>428</v>
      </c>
      <c r="C378" t="s">
        <v>41</v>
      </c>
      <c r="D378" t="s">
        <v>42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33</v>
      </c>
      <c r="K378" t="s">
        <v>16</v>
      </c>
      <c r="L378" s="2">
        <v>-43.7</v>
      </c>
      <c r="Y378" s="6">
        <f>VLOOKUP(A374,A$1:$L$601,1,FALSE)</f>
        <v>1394</v>
      </c>
      <c r="Z378" s="6" t="str">
        <f>VLOOKUP(B374,B$1:$L$601,1,FALSE)</f>
        <v>Jody Larsen</v>
      </c>
      <c r="AA378" s="6" t="str">
        <f>VLOOKUP(C374,C$1:$L$601,1,FALSE)</f>
        <v>Jackets</v>
      </c>
      <c r="AB378" s="6" t="str">
        <f>VLOOKUP(D374,D$1:$L$601,1,FALSE)</f>
        <v>Bomber Jacket</v>
      </c>
      <c r="AC378" s="6">
        <f>VLOOKUP(E374,E$1:$L$601,1,FALSE)</f>
        <v>1.8076923076923077</v>
      </c>
      <c r="AD378" s="6">
        <f>VLOOKUP(F374,F$1:$L$601,1,FALSE)</f>
        <v>1218.6500000000001</v>
      </c>
      <c r="AE378" s="6">
        <f>VLOOKUP(G374,G$1:$L$601,1,FALSE)</f>
        <v>0.69969696969696993</v>
      </c>
      <c r="AF378" s="6">
        <f>VLOOKUP(H374,H$1:$L$601,1,FALSE)</f>
        <v>0</v>
      </c>
      <c r="AG378" s="6">
        <f>VLOOKUP(I374,I$1:$L$601,1,FALSE)</f>
        <v>45806</v>
      </c>
      <c r="AH378" s="6" t="str">
        <f>VLOOKUP(J374,J$1:$L$601,1,FALSE)</f>
        <v>HYDERBAD</v>
      </c>
      <c r="AI378" s="6" t="str">
        <f>VLOOKUP(K374,K$1:$L$601,1,FALSE)</f>
        <v>B2C</v>
      </c>
      <c r="AJ378" s="6">
        <f>VLOOKUP(L374,L$1:$L$601,1,FALSE)</f>
        <v>2538.59</v>
      </c>
    </row>
    <row r="379" spans="1:36" x14ac:dyDescent="0.25">
      <c r="A379">
        <v>1399</v>
      </c>
      <c r="B379" t="s">
        <v>429</v>
      </c>
      <c r="C379" t="s">
        <v>21</v>
      </c>
      <c r="D379" t="s">
        <v>87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  <c r="Y379" s="6">
        <f>VLOOKUP(A375,A$1:$L$601,1,FALSE)</f>
        <v>1395</v>
      </c>
      <c r="Z379" s="6" t="str">
        <f>VLOOKUP(B375,B$1:$L$601,1,FALSE)</f>
        <v>Andrew Wood</v>
      </c>
      <c r="AA379" s="6" t="str">
        <f>VLOOKUP(C375,C$1:$L$601,1,FALSE)</f>
        <v>Dresses</v>
      </c>
      <c r="AB379" s="6" t="str">
        <f>VLOOKUP(D375,D$1:$L$601,1,FALSE)</f>
        <v>Wrap Dress</v>
      </c>
      <c r="AC379" s="6">
        <f>VLOOKUP(E375,E$1:$L$601,1,FALSE)</f>
        <v>2.1864406779661016</v>
      </c>
      <c r="AD379" s="6">
        <f>VLOOKUP(F375,F$1:$L$601,1,FALSE)</f>
        <v>2949.9901960784309</v>
      </c>
      <c r="AE379" s="6">
        <f>VLOOKUP(G375,G$1:$L$601,1,FALSE)</f>
        <v>0.55000000000000004</v>
      </c>
      <c r="AF379" s="6">
        <f>VLOOKUP(H375,H$1:$L$601,1,FALSE)</f>
        <v>0</v>
      </c>
      <c r="AG379" s="6">
        <f>VLOOKUP(I375,I$1:$L$601,1,FALSE)</f>
        <v>45393</v>
      </c>
      <c r="AH379" s="6" t="str">
        <f>VLOOKUP(J375,J$1:$L$601,1,FALSE)</f>
        <v>MUMBAI</v>
      </c>
      <c r="AI379" s="6" t="str">
        <f>VLOOKUP(K375,K$1:$L$601,1,FALSE)</f>
        <v>B2B</v>
      </c>
      <c r="AJ379" s="6">
        <f>VLOOKUP(L375,L$1:$L$601,1,FALSE)</f>
        <v>-357.08</v>
      </c>
    </row>
    <row r="380" spans="1:36" x14ac:dyDescent="0.25">
      <c r="A380">
        <v>1400</v>
      </c>
      <c r="B380" t="s">
        <v>430</v>
      </c>
      <c r="C380" t="s">
        <v>36</v>
      </c>
      <c r="D380" t="s">
        <v>71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  <c r="Y380" s="6">
        <f>VLOOKUP(A376,A$1:$L$601,1,FALSE)</f>
        <v>1396</v>
      </c>
      <c r="Z380" s="6" t="str">
        <f>VLOOKUP(B376,B$1:$L$601,1,FALSE)</f>
        <v>James Rocha</v>
      </c>
      <c r="AA380" s="6" t="str">
        <f>VLOOKUP(C376,C$1:$L$601,1,FALSE)</f>
        <v>Jeans</v>
      </c>
      <c r="AB380" s="6" t="str">
        <f>VLOOKUP(D376,D$1:$L$601,1,FALSE)</f>
        <v>Straight Cut</v>
      </c>
      <c r="AC380" s="6">
        <f>VLOOKUP(E376,E$1:$L$601,1,FALSE)</f>
        <v>2</v>
      </c>
      <c r="AD380" s="6">
        <f>VLOOKUP(F376,F$1:$L$601,1,FALSE)</f>
        <v>3663.65</v>
      </c>
      <c r="AE380" s="6">
        <f>VLOOKUP(G376,G$1:$L$601,1,FALSE)</f>
        <v>0.26</v>
      </c>
      <c r="AF380" s="6">
        <f>VLOOKUP(H376,H$1:$L$601,1,FALSE)</f>
        <v>5422.2</v>
      </c>
      <c r="AG380" s="6">
        <f>VLOOKUP(I376,I$1:$L$601,1,FALSE)</f>
        <v>45626.838268792708</v>
      </c>
      <c r="AH380" s="6" t="str">
        <f>VLOOKUP(J376,J$1:$L$601,1,FALSE)</f>
        <v>AHMEDABAD</v>
      </c>
      <c r="AI380" s="6" t="str">
        <f>VLOOKUP(K376,K$1:$L$601,1,FALSE)</f>
        <v>B2B</v>
      </c>
      <c r="AJ380" s="6">
        <f>VLOOKUP(L376,L$1:$L$601,1,FALSE)</f>
        <v>1553.44</v>
      </c>
    </row>
    <row r="381" spans="1:36" x14ac:dyDescent="0.25">
      <c r="A381">
        <v>1401</v>
      </c>
      <c r="B381" t="s">
        <v>431</v>
      </c>
      <c r="C381" t="s">
        <v>36</v>
      </c>
      <c r="D381" t="s">
        <v>71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33</v>
      </c>
      <c r="K381" t="s">
        <v>16</v>
      </c>
      <c r="L381" s="2">
        <v>-751.05</v>
      </c>
      <c r="Y381" s="6">
        <f>VLOOKUP(A377,A$1:$L$601,1,FALSE)</f>
        <v>1397</v>
      </c>
      <c r="Z381" s="6" t="str">
        <f>VLOOKUP(B377,B$1:$L$601,1,FALSE)</f>
        <v>Rebekah Gonzalez</v>
      </c>
      <c r="AA381" s="6" t="str">
        <f>VLOOKUP(C377,C$1:$L$601,1,FALSE)</f>
        <v>Jackets</v>
      </c>
      <c r="AB381" s="6" t="str">
        <f>VLOOKUP(D377,D$1:$L$601,1,FALSE)</f>
        <v>Leather Jacket</v>
      </c>
      <c r="AC381" s="6">
        <f>VLOOKUP(E377,E$1:$L$601,1,FALSE)</f>
        <v>1.8076923076923077</v>
      </c>
      <c r="AD381" s="6">
        <f>VLOOKUP(F377,F$1:$L$601,1,FALSE)</f>
        <v>2811.5702272727276</v>
      </c>
      <c r="AE381" s="6">
        <f>VLOOKUP(G377,G$1:$L$601,1,FALSE)</f>
        <v>0.69969696969696993</v>
      </c>
      <c r="AF381" s="6">
        <f>VLOOKUP(H377,H$1:$L$601,1,FALSE)</f>
        <v>0</v>
      </c>
      <c r="AG381" s="6">
        <f>VLOOKUP(I377,I$1:$L$601,1,FALSE)</f>
        <v>45841</v>
      </c>
      <c r="AH381" s="6" t="str">
        <f>VLOOKUP(J377,J$1:$L$601,1,FALSE)</f>
        <v>BANGALORE</v>
      </c>
      <c r="AI381" s="6" t="str">
        <f>VLOOKUP(K377,K$1:$L$601,1,FALSE)</f>
        <v>B2C</v>
      </c>
      <c r="AJ381" s="6">
        <f>VLOOKUP(L377,L$1:$L$601,1,FALSE)</f>
        <v>1239.6199999999999</v>
      </c>
    </row>
    <row r="382" spans="1:36" x14ac:dyDescent="0.25">
      <c r="A382">
        <v>1402</v>
      </c>
      <c r="B382" t="s">
        <v>432</v>
      </c>
      <c r="C382" t="s">
        <v>31</v>
      </c>
      <c r="D382" t="s">
        <v>119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33</v>
      </c>
      <c r="K382" t="s">
        <v>16</v>
      </c>
      <c r="L382" s="2">
        <v>982.01</v>
      </c>
      <c r="Y382" s="6">
        <f>VLOOKUP(A378,A$1:$L$601,1,FALSE)</f>
        <v>1398</v>
      </c>
      <c r="Z382" s="6" t="str">
        <f>VLOOKUP(B378,B$1:$L$601,1,FALSE)</f>
        <v>Aaron Ruiz</v>
      </c>
      <c r="AA382" s="6" t="str">
        <f>VLOOKUP(C378,C$1:$L$601,1,FALSE)</f>
        <v>Dresses</v>
      </c>
      <c r="AB382" s="6" t="str">
        <f>VLOOKUP(D378,D$1:$L$601,1,FALSE)</f>
        <v>Casual Midi</v>
      </c>
      <c r="AC382" s="6">
        <f>VLOOKUP(E378,E$1:$L$601,1,FALSE)</f>
        <v>2.1864406779661016</v>
      </c>
      <c r="AD382" s="6">
        <f>VLOOKUP(F378,F$1:$L$601,1,FALSE)</f>
        <v>2949.9901960784309</v>
      </c>
      <c r="AE382" s="6">
        <f>VLOOKUP(G378,G$1:$L$601,1,FALSE)</f>
        <v>0.55000000000000004</v>
      </c>
      <c r="AF382" s="6">
        <f>VLOOKUP(H378,H$1:$L$601,1,FALSE)</f>
        <v>0</v>
      </c>
      <c r="AG382" s="6">
        <f>VLOOKUP(I378,I$1:$L$601,1,FALSE)</f>
        <v>45744</v>
      </c>
      <c r="AH382" s="6" t="str">
        <f>VLOOKUP(J378,J$1:$L$601,1,FALSE)</f>
        <v>HYDERBAD</v>
      </c>
      <c r="AI382" s="6" t="str">
        <f>VLOOKUP(K378,K$1:$L$601,1,FALSE)</f>
        <v>B2C</v>
      </c>
      <c r="AJ382" s="6">
        <f>VLOOKUP(L378,L$1:$L$601,1,FALSE)</f>
        <v>-43.7</v>
      </c>
    </row>
    <row r="383" spans="1:36" x14ac:dyDescent="0.25">
      <c r="A383">
        <v>1403</v>
      </c>
      <c r="B383" t="s">
        <v>433</v>
      </c>
      <c r="C383" t="s">
        <v>36</v>
      </c>
      <c r="D383" t="s">
        <v>37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33</v>
      </c>
      <c r="K383" t="s">
        <v>16</v>
      </c>
      <c r="L383" s="2">
        <v>2210.0700000000002</v>
      </c>
      <c r="Y383" s="6">
        <f>VLOOKUP(A379,A$1:$L$601,1,FALSE)</f>
        <v>1399</v>
      </c>
      <c r="Z383" s="6" t="str">
        <f>VLOOKUP(B379,B$1:$L$601,1,FALSE)</f>
        <v>Olivia Lee</v>
      </c>
      <c r="AA383" s="6" t="str">
        <f>VLOOKUP(C379,C$1:$L$601,1,FALSE)</f>
        <v>Jackets</v>
      </c>
      <c r="AB383" s="6" t="str">
        <f>VLOOKUP(D379,D$1:$L$601,1,FALSE)</f>
        <v>Denim Jacket</v>
      </c>
      <c r="AC383" s="6">
        <f>VLOOKUP(E379,E$1:$L$601,1,FALSE)</f>
        <v>4</v>
      </c>
      <c r="AD383" s="6">
        <f>VLOOKUP(F379,F$1:$L$601,1,FALSE)</f>
        <v>2811.5702272727276</v>
      </c>
      <c r="AE383" s="6">
        <f>VLOOKUP(G379,G$1:$L$601,1,FALSE)</f>
        <v>0.35</v>
      </c>
      <c r="AF383" s="6">
        <f>VLOOKUP(H379,H$1:$L$601,1,FALSE)</f>
        <v>0</v>
      </c>
      <c r="AG383" s="6">
        <f>VLOOKUP(I379,I$1:$L$601,1,FALSE)</f>
        <v>45596</v>
      </c>
      <c r="AH383" s="6" t="str">
        <f>VLOOKUP(J379,J$1:$L$601,1,FALSE)</f>
        <v>DELHI</v>
      </c>
      <c r="AI383" s="6" t="str">
        <f>VLOOKUP(K379,K$1:$L$601,1,FALSE)</f>
        <v>B2C</v>
      </c>
      <c r="AJ383" s="6">
        <f>VLOOKUP(L379,L$1:$L$601,1,FALSE)</f>
        <v>-444.08</v>
      </c>
    </row>
    <row r="384" spans="1:36" x14ac:dyDescent="0.25">
      <c r="A384">
        <v>1404</v>
      </c>
      <c r="B384" t="s">
        <v>434</v>
      </c>
      <c r="C384" t="s">
        <v>31</v>
      </c>
      <c r="D384" t="s">
        <v>119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29</v>
      </c>
      <c r="K384" t="s">
        <v>16</v>
      </c>
      <c r="L384" s="2">
        <v>1979.07</v>
      </c>
      <c r="Y384" s="6">
        <f>VLOOKUP(A380,A$1:$L$601,1,FALSE)</f>
        <v>1400</v>
      </c>
      <c r="Z384" s="6" t="str">
        <f>VLOOKUP(B380,B$1:$L$601,1,FALSE)</f>
        <v>John Carr</v>
      </c>
      <c r="AA384" s="6" t="str">
        <f>VLOOKUP(C380,C$1:$L$601,1,FALSE)</f>
        <v>T-Shirts</v>
      </c>
      <c r="AB384" s="6" t="str">
        <f>VLOOKUP(D380,D$1:$L$601,1,FALSE)</f>
        <v>Classic Tee</v>
      </c>
      <c r="AC384" s="6">
        <f>VLOOKUP(E380,E$1:$L$601,1,FALSE)</f>
        <v>1.5178571428571428</v>
      </c>
      <c r="AD384" s="6">
        <f>VLOOKUP(F380,F$1:$L$601,1,FALSE)</f>
        <v>2742.2927659574466</v>
      </c>
      <c r="AE384" s="6">
        <f>VLOOKUP(G380,G$1:$L$601,1,FALSE)</f>
        <v>0.65787878787878773</v>
      </c>
      <c r="AF384" s="6">
        <f>VLOOKUP(H380,H$1:$L$601,1,FALSE)</f>
        <v>0</v>
      </c>
      <c r="AG384" s="6">
        <f>VLOOKUP(I380,I$1:$L$601,1,FALSE)</f>
        <v>45715</v>
      </c>
      <c r="AH384" s="6" t="str">
        <f>VLOOKUP(J380,J$1:$L$601,1,FALSE)</f>
        <v>DELHI</v>
      </c>
      <c r="AI384" s="6" t="str">
        <f>VLOOKUP(K380,K$1:$L$601,1,FALSE)</f>
        <v>B2C</v>
      </c>
      <c r="AJ384" s="6">
        <f>VLOOKUP(L380,L$1:$L$601,1,FALSE)</f>
        <v>1385.55</v>
      </c>
    </row>
    <row r="385" spans="1:36" x14ac:dyDescent="0.25">
      <c r="A385">
        <v>1405</v>
      </c>
      <c r="B385" t="s">
        <v>435</v>
      </c>
      <c r="C385" t="s">
        <v>41</v>
      </c>
      <c r="D385" t="s">
        <v>59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23</v>
      </c>
      <c r="K385" t="s">
        <v>16</v>
      </c>
      <c r="L385" s="2">
        <v>2345.6799999999998</v>
      </c>
      <c r="Y385" s="6">
        <f>VLOOKUP(A381,A$1:$L$601,1,FALSE)</f>
        <v>1401</v>
      </c>
      <c r="Z385" s="6" t="str">
        <f>VLOOKUP(B381,B$1:$L$601,1,FALSE)</f>
        <v>Daniel Wilson</v>
      </c>
      <c r="AA385" s="6" t="str">
        <f>VLOOKUP(C381,C$1:$L$601,1,FALSE)</f>
        <v>T-Shirts</v>
      </c>
      <c r="AB385" s="6" t="str">
        <f>VLOOKUP(D381,D$1:$L$601,1,FALSE)</f>
        <v>Classic Tee</v>
      </c>
      <c r="AC385" s="6">
        <f>VLOOKUP(E381,E$1:$L$601,1,FALSE)</f>
        <v>1.5178571428571428</v>
      </c>
      <c r="AD385" s="6">
        <f>VLOOKUP(F381,F$1:$L$601,1,FALSE)</f>
        <v>2742.2927659574466</v>
      </c>
      <c r="AE385" s="6">
        <f>VLOOKUP(G381,G$1:$L$601,1,FALSE)</f>
        <v>0.65787878787878773</v>
      </c>
      <c r="AF385" s="6">
        <f>VLOOKUP(H381,H$1:$L$601,1,FALSE)</f>
        <v>0</v>
      </c>
      <c r="AG385" s="6">
        <f>VLOOKUP(I381,I$1:$L$601,1,FALSE)</f>
        <v>45570</v>
      </c>
      <c r="AH385" s="6" t="str">
        <f>VLOOKUP(J381,J$1:$L$601,1,FALSE)</f>
        <v>HYDERBAD</v>
      </c>
      <c r="AI385" s="6" t="str">
        <f>VLOOKUP(K381,K$1:$L$601,1,FALSE)</f>
        <v>B2C</v>
      </c>
      <c r="AJ385" s="6">
        <f>VLOOKUP(L381,L$1:$L$601,1,FALSE)</f>
        <v>-751.05</v>
      </c>
    </row>
    <row r="386" spans="1:36" x14ac:dyDescent="0.25">
      <c r="A386">
        <v>1406</v>
      </c>
      <c r="B386" t="s">
        <v>436</v>
      </c>
      <c r="C386" t="s">
        <v>41</v>
      </c>
      <c r="D386" t="s">
        <v>59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29</v>
      </c>
      <c r="K386" t="s">
        <v>16</v>
      </c>
      <c r="L386" s="2">
        <v>-863.17</v>
      </c>
      <c r="Y386" s="6">
        <f>VLOOKUP(A382,A$1:$L$601,1,FALSE)</f>
        <v>1402</v>
      </c>
      <c r="Z386" s="6" t="str">
        <f>VLOOKUP(B382,B$1:$L$601,1,FALSE)</f>
        <v>Daniel Hernandez Jr.</v>
      </c>
      <c r="AA386" s="6" t="str">
        <f>VLOOKUP(C382,C$1:$L$601,1,FALSE)</f>
        <v>Accessories</v>
      </c>
      <c r="AB386" s="6" t="str">
        <f>VLOOKUP(D382,D$1:$L$601,1,FALSE)</f>
        <v>Watches</v>
      </c>
      <c r="AC386" s="6">
        <f>VLOOKUP(E382,E$1:$L$601,1,FALSE)</f>
        <v>2.4893617021276597</v>
      </c>
      <c r="AD386" s="6">
        <f>VLOOKUP(F382,F$1:$L$601,1,FALSE)</f>
        <v>603.51</v>
      </c>
      <c r="AE386" s="6">
        <f>VLOOKUP(G382,G$1:$L$601,1,FALSE)</f>
        <v>1.23E-2</v>
      </c>
      <c r="AF386" s="6">
        <f>VLOOKUP(H382,H$1:$L$601,1,FALSE)</f>
        <v>0</v>
      </c>
      <c r="AG386" s="6">
        <f>VLOOKUP(I382,I$1:$L$601,1,FALSE)</f>
        <v>45673</v>
      </c>
      <c r="AH386" s="6" t="str">
        <f>VLOOKUP(J382,J$1:$L$601,1,FALSE)</f>
        <v>HYDERBAD</v>
      </c>
      <c r="AI386" s="6" t="str">
        <f>VLOOKUP(K382,K$1:$L$601,1,FALSE)</f>
        <v>B2C</v>
      </c>
      <c r="AJ386" s="6">
        <f>VLOOKUP(L382,L$1:$L$601,1,FALSE)</f>
        <v>982.01</v>
      </c>
    </row>
    <row r="387" spans="1:36" x14ac:dyDescent="0.25">
      <c r="A387">
        <v>1407</v>
      </c>
      <c r="B387" t="s">
        <v>437</v>
      </c>
      <c r="C387" t="s">
        <v>36</v>
      </c>
      <c r="D387" t="s">
        <v>81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19</v>
      </c>
      <c r="K387" t="s">
        <v>24</v>
      </c>
      <c r="L387" s="2">
        <v>2041.12</v>
      </c>
      <c r="Y387" s="6">
        <f>VLOOKUP(A383,A$1:$L$601,1,FALSE)</f>
        <v>1403</v>
      </c>
      <c r="Z387" s="6" t="str">
        <f>VLOOKUP(B383,B$1:$L$601,1,FALSE)</f>
        <v>John Clark</v>
      </c>
      <c r="AA387" s="6" t="str">
        <f>VLOOKUP(C383,C$1:$L$601,1,FALSE)</f>
        <v>T-Shirts</v>
      </c>
      <c r="AB387" s="6" t="str">
        <f>VLOOKUP(D383,D$1:$L$601,1,FALSE)</f>
        <v>Crop Top</v>
      </c>
      <c r="AC387" s="6">
        <f>VLOOKUP(E383,E$1:$L$601,1,FALSE)</f>
        <v>1.5178571428571428</v>
      </c>
      <c r="AD387" s="6">
        <f>VLOOKUP(F383,F$1:$L$601,1,FALSE)</f>
        <v>2742.2927659574466</v>
      </c>
      <c r="AE387" s="6">
        <f>VLOOKUP(G383,G$1:$L$601,1,FALSE)</f>
        <v>0.65787878787878773</v>
      </c>
      <c r="AF387" s="6">
        <f>VLOOKUP(H383,H$1:$L$601,1,FALSE)</f>
        <v>0</v>
      </c>
      <c r="AG387" s="6">
        <f>VLOOKUP(I383,I$1:$L$601,1,FALSE)</f>
        <v>45828</v>
      </c>
      <c r="AH387" s="6" t="str">
        <f>VLOOKUP(J383,J$1:$L$601,1,FALSE)</f>
        <v>HYDERBAD</v>
      </c>
      <c r="AI387" s="6" t="str">
        <f>VLOOKUP(K383,K$1:$L$601,1,FALSE)</f>
        <v>B2C</v>
      </c>
      <c r="AJ387" s="6">
        <f>VLOOKUP(L383,L$1:$L$601,1,FALSE)</f>
        <v>2210.0700000000002</v>
      </c>
    </row>
    <row r="388" spans="1:36" x14ac:dyDescent="0.25">
      <c r="A388">
        <v>1408</v>
      </c>
      <c r="B388" t="s">
        <v>438</v>
      </c>
      <c r="C388" t="s">
        <v>27</v>
      </c>
      <c r="D388" t="s">
        <v>85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23</v>
      </c>
      <c r="K388" t="s">
        <v>24</v>
      </c>
      <c r="L388" s="2">
        <v>2305.3200000000002</v>
      </c>
      <c r="Y388" s="6">
        <f>VLOOKUP(A384,A$1:$L$601,1,FALSE)</f>
        <v>1404</v>
      </c>
      <c r="Z388" s="6" t="str">
        <f>VLOOKUP(B384,B$1:$L$601,1,FALSE)</f>
        <v>Hannah Martin</v>
      </c>
      <c r="AA388" s="6" t="str">
        <f>VLOOKUP(C384,C$1:$L$601,1,FALSE)</f>
        <v>Accessories</v>
      </c>
      <c r="AB388" s="6" t="str">
        <f>VLOOKUP(D384,D$1:$L$601,1,FALSE)</f>
        <v>Watches</v>
      </c>
      <c r="AC388" s="6">
        <f>VLOOKUP(E384,E$1:$L$601,1,FALSE)</f>
        <v>2.4893617021276597</v>
      </c>
      <c r="AD388" s="6">
        <f>VLOOKUP(F384,F$1:$L$601,1,FALSE)</f>
        <v>3074.59</v>
      </c>
      <c r="AE388" s="6">
        <f>VLOOKUP(G384,G$1:$L$601,1,FALSE)</f>
        <v>0.70297297297297334</v>
      </c>
      <c r="AF388" s="6">
        <f>VLOOKUP(H384,H$1:$L$601,1,FALSE)</f>
        <v>0</v>
      </c>
      <c r="AG388" s="6">
        <f>VLOOKUP(I384,I$1:$L$601,1,FALSE)</f>
        <v>45626.838268792708</v>
      </c>
      <c r="AH388" s="6" t="str">
        <f>VLOOKUP(J384,J$1:$L$601,1,FALSE)</f>
        <v>BANGALORE</v>
      </c>
      <c r="AI388" s="6" t="str">
        <f>VLOOKUP(K384,K$1:$L$601,1,FALSE)</f>
        <v>B2C</v>
      </c>
      <c r="AJ388" s="6">
        <f>VLOOKUP(L384,L$1:$L$601,1,FALSE)</f>
        <v>1979.07</v>
      </c>
    </row>
    <row r="389" spans="1:36" x14ac:dyDescent="0.25">
      <c r="A389">
        <v>1409</v>
      </c>
      <c r="B389" t="s">
        <v>439</v>
      </c>
      <c r="C389" t="s">
        <v>31</v>
      </c>
      <c r="D389" t="s">
        <v>140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48</v>
      </c>
      <c r="K389" t="s">
        <v>16</v>
      </c>
      <c r="L389" s="2">
        <v>-941.44</v>
      </c>
      <c r="Y389" s="6">
        <f>VLOOKUP(A385,A$1:$L$601,1,FALSE)</f>
        <v>1405</v>
      </c>
      <c r="Z389" s="6" t="str">
        <f>VLOOKUP(B385,B$1:$L$601,1,FALSE)</f>
        <v>Alyssa Ramirez</v>
      </c>
      <c r="AA389" s="6" t="str">
        <f>VLOOKUP(C385,C$1:$L$601,1,FALSE)</f>
        <v>Dresses</v>
      </c>
      <c r="AB389" s="6" t="str">
        <f>VLOOKUP(D385,D$1:$L$601,1,FALSE)</f>
        <v>Maxi Dress</v>
      </c>
      <c r="AC389" s="6">
        <f>VLOOKUP(E385,E$1:$L$601,1,FALSE)</f>
        <v>2.1864406779661016</v>
      </c>
      <c r="AD389" s="6">
        <f>VLOOKUP(F385,F$1:$L$601,1,FALSE)</f>
        <v>2949.9901960784309</v>
      </c>
      <c r="AE389" s="6">
        <f>VLOOKUP(G385,G$1:$L$601,1,FALSE)</f>
        <v>0.56000000000000005</v>
      </c>
      <c r="AF389" s="6">
        <f>VLOOKUP(H385,H$1:$L$601,1,FALSE)</f>
        <v>0</v>
      </c>
      <c r="AG389" s="6">
        <f>VLOOKUP(I385,I$1:$L$601,1,FALSE)</f>
        <v>45417</v>
      </c>
      <c r="AH389" s="6" t="str">
        <f>VLOOKUP(J385,J$1:$L$601,1,FALSE)</f>
        <v>MUMBAI</v>
      </c>
      <c r="AI389" s="6" t="str">
        <f>VLOOKUP(K385,K$1:$L$601,1,FALSE)</f>
        <v>B2C</v>
      </c>
      <c r="AJ389" s="6">
        <f>VLOOKUP(L385,L$1:$L$601,1,FALSE)</f>
        <v>2345.6799999999998</v>
      </c>
    </row>
    <row r="390" spans="1:36" x14ac:dyDescent="0.25">
      <c r="A390">
        <v>1410</v>
      </c>
      <c r="B390" t="s">
        <v>440</v>
      </c>
      <c r="C390" t="s">
        <v>13</v>
      </c>
      <c r="D390" t="s">
        <v>101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  <c r="Y390" s="6">
        <f>VLOOKUP(A386,A$1:$L$601,1,FALSE)</f>
        <v>1406</v>
      </c>
      <c r="Z390" s="6" t="str">
        <f>VLOOKUP(B386,B$1:$L$601,1,FALSE)</f>
        <v>Alan Johnson</v>
      </c>
      <c r="AA390" s="6" t="str">
        <f>VLOOKUP(C386,C$1:$L$601,1,FALSE)</f>
        <v>Dresses</v>
      </c>
      <c r="AB390" s="6" t="str">
        <f>VLOOKUP(D386,D$1:$L$601,1,FALSE)</f>
        <v>Maxi Dress</v>
      </c>
      <c r="AC390" s="6">
        <f>VLOOKUP(E386,E$1:$L$601,1,FALSE)</f>
        <v>2.1864406779661016</v>
      </c>
      <c r="AD390" s="6">
        <f>VLOOKUP(F386,F$1:$L$601,1,FALSE)</f>
        <v>2949.9901960784309</v>
      </c>
      <c r="AE390" s="6">
        <f>VLOOKUP(G386,G$1:$L$601,1,FALSE)</f>
        <v>0.55000000000000004</v>
      </c>
      <c r="AF390" s="6">
        <f>VLOOKUP(H386,H$1:$L$601,1,FALSE)</f>
        <v>0</v>
      </c>
      <c r="AG390" s="6">
        <f>VLOOKUP(I386,I$1:$L$601,1,FALSE)</f>
        <v>45675</v>
      </c>
      <c r="AH390" s="6" t="str">
        <f>VLOOKUP(J386,J$1:$L$601,1,FALSE)</f>
        <v>BANGALORE</v>
      </c>
      <c r="AI390" s="6" t="str">
        <f>VLOOKUP(K386,K$1:$L$601,1,FALSE)</f>
        <v>B2C</v>
      </c>
      <c r="AJ390" s="6">
        <f>VLOOKUP(L386,L$1:$L$601,1,FALSE)</f>
        <v>-863.17</v>
      </c>
    </row>
    <row r="391" spans="1:36" x14ac:dyDescent="0.25">
      <c r="A391">
        <v>1411</v>
      </c>
      <c r="B391" t="s">
        <v>441</v>
      </c>
      <c r="C391" t="s">
        <v>41</v>
      </c>
      <c r="D391" t="s">
        <v>63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23</v>
      </c>
      <c r="K391" t="s">
        <v>16</v>
      </c>
      <c r="L391" s="2">
        <v>1520.19</v>
      </c>
      <c r="Y391" s="6">
        <f>VLOOKUP(A387,A$1:$L$601,1,FALSE)</f>
        <v>1407</v>
      </c>
      <c r="Z391" s="6" t="str">
        <f>VLOOKUP(B387,B$1:$L$601,1,FALSE)</f>
        <v>Joseph Freeman</v>
      </c>
      <c r="AA391" s="6" t="str">
        <f>VLOOKUP(C387,C$1:$L$601,1,FALSE)</f>
        <v>T-Shirts</v>
      </c>
      <c r="AB391" s="6" t="str">
        <f>VLOOKUP(D387,D$1:$L$601,1,FALSE)</f>
        <v>Graphic Tee</v>
      </c>
      <c r="AC391" s="6">
        <f>VLOOKUP(E387,E$1:$L$601,1,FALSE)</f>
        <v>1.5178571428571428</v>
      </c>
      <c r="AD391" s="6">
        <f>VLOOKUP(F387,F$1:$L$601,1,FALSE)</f>
        <v>4977.8100000000004</v>
      </c>
      <c r="AE391" s="6">
        <f>VLOOKUP(G387,G$1:$L$601,1,FALSE)</f>
        <v>0.65787878787878773</v>
      </c>
      <c r="AF391" s="6">
        <f>VLOOKUP(H387,H$1:$L$601,1,FALSE)</f>
        <v>0</v>
      </c>
      <c r="AG391" s="6">
        <f>VLOOKUP(I387,I$1:$L$601,1,FALSE)</f>
        <v>45823</v>
      </c>
      <c r="AH391" s="6" t="str">
        <f>VLOOKUP(J387,J$1:$L$601,1,FALSE)</f>
        <v>AHMEDABAD</v>
      </c>
      <c r="AI391" s="6" t="str">
        <f>VLOOKUP(K387,K$1:$L$601,1,FALSE)</f>
        <v>B2B</v>
      </c>
      <c r="AJ391" s="6">
        <f>VLOOKUP(L387,L$1:$L$601,1,FALSE)</f>
        <v>2041.12</v>
      </c>
    </row>
    <row r="392" spans="1:36" x14ac:dyDescent="0.25">
      <c r="A392">
        <v>1412</v>
      </c>
      <c r="B392" t="s">
        <v>442</v>
      </c>
      <c r="C392" t="s">
        <v>27</v>
      </c>
      <c r="D392" t="s">
        <v>65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33</v>
      </c>
      <c r="K392" t="s">
        <v>16</v>
      </c>
      <c r="L392" s="2">
        <v>2314.9299999999998</v>
      </c>
      <c r="Y392" s="6">
        <f>VLOOKUP(A388,A$1:$L$601,1,FALSE)</f>
        <v>1408</v>
      </c>
      <c r="Z392" s="6" t="str">
        <f>VLOOKUP(B388,B$1:$L$601,1,FALSE)</f>
        <v>William Golden</v>
      </c>
      <c r="AA392" s="6" t="str">
        <f>VLOOKUP(C388,C$1:$L$601,1,FALSE)</f>
        <v>Shoes</v>
      </c>
      <c r="AB392" s="6" t="str">
        <f>VLOOKUP(D388,D$1:$L$601,1,FALSE)</f>
        <v>Boots</v>
      </c>
      <c r="AC392" s="6">
        <f>VLOOKUP(E388,E$1:$L$601,1,FALSE)</f>
        <v>1.6216216216216217</v>
      </c>
      <c r="AD392" s="6">
        <f>VLOOKUP(F388,F$1:$L$601,1,FALSE)</f>
        <v>2557.4251351351354</v>
      </c>
      <c r="AE392" s="6">
        <f>VLOOKUP(G388,G$1:$L$601,1,FALSE)</f>
        <v>0.59740740740740739</v>
      </c>
      <c r="AF392" s="6">
        <f>VLOOKUP(H388,H$1:$L$601,1,FALSE)</f>
        <v>0</v>
      </c>
      <c r="AG392" s="6">
        <f>VLOOKUP(I388,I$1:$L$601,1,FALSE)</f>
        <v>45539</v>
      </c>
      <c r="AH392" s="6" t="str">
        <f>VLOOKUP(J388,J$1:$L$601,1,FALSE)</f>
        <v>MUMBAI</v>
      </c>
      <c r="AI392" s="6" t="str">
        <f>VLOOKUP(K388,K$1:$L$601,1,FALSE)</f>
        <v>B2B</v>
      </c>
      <c r="AJ392" s="6">
        <f>VLOOKUP(L388,L$1:$L$601,1,FALSE)</f>
        <v>2305.3200000000002</v>
      </c>
    </row>
    <row r="393" spans="1:36" x14ac:dyDescent="0.25">
      <c r="A393">
        <v>1413</v>
      </c>
      <c r="B393" t="s">
        <v>443</v>
      </c>
      <c r="C393" t="s">
        <v>41</v>
      </c>
      <c r="D393" t="s">
        <v>59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19</v>
      </c>
      <c r="K393" t="s">
        <v>16</v>
      </c>
      <c r="L393" s="2">
        <v>1539.28</v>
      </c>
      <c r="Y393" s="6">
        <f>VLOOKUP(A389,A$1:$L$601,1,FALSE)</f>
        <v>1409</v>
      </c>
      <c r="Z393" s="6" t="str">
        <f>VLOOKUP(B389,B$1:$L$601,1,FALSE)</f>
        <v>Heather Cross</v>
      </c>
      <c r="AA393" s="6" t="str">
        <f>VLOOKUP(C389,C$1:$L$601,1,FALSE)</f>
        <v>Accessories</v>
      </c>
      <c r="AB393" s="6" t="str">
        <f>VLOOKUP(D389,D$1:$L$601,1,FALSE)</f>
        <v>Caps</v>
      </c>
      <c r="AC393" s="6">
        <f>VLOOKUP(E389,E$1:$L$601,1,FALSE)</f>
        <v>6</v>
      </c>
      <c r="AD393" s="6">
        <f>VLOOKUP(F389,F$1:$L$601,1,FALSE)</f>
        <v>2706.1301960784322</v>
      </c>
      <c r="AE393" s="6">
        <f>VLOOKUP(G389,G$1:$L$601,1,FALSE)</f>
        <v>0.70297297297297334</v>
      </c>
      <c r="AF393" s="6">
        <f>VLOOKUP(H389,H$1:$L$601,1,FALSE)</f>
        <v>0</v>
      </c>
      <c r="AG393" s="6">
        <f>VLOOKUP(I389,I$1:$L$601,1,FALSE)</f>
        <v>45626.838268792708</v>
      </c>
      <c r="AH393" s="6" t="str">
        <f>VLOOKUP(J389,J$1:$L$601,1,FALSE)</f>
        <v>PUNE</v>
      </c>
      <c r="AI393" s="6" t="str">
        <f>VLOOKUP(K389,K$1:$L$601,1,FALSE)</f>
        <v>B2C</v>
      </c>
      <c r="AJ393" s="6">
        <f>VLOOKUP(L389,L$1:$L$601,1,FALSE)</f>
        <v>-941.44</v>
      </c>
    </row>
    <row r="394" spans="1:36" x14ac:dyDescent="0.25">
      <c r="A394">
        <v>1414</v>
      </c>
      <c r="B394" t="s">
        <v>444</v>
      </c>
      <c r="C394" t="s">
        <v>36</v>
      </c>
      <c r="D394" t="s">
        <v>46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19</v>
      </c>
      <c r="K394" t="s">
        <v>16</v>
      </c>
      <c r="L394" s="2">
        <v>2843.55</v>
      </c>
      <c r="Y394" s="6">
        <f>VLOOKUP(A390,A$1:$L$601,1,FALSE)</f>
        <v>1410</v>
      </c>
      <c r="Z394" s="6" t="str">
        <f>VLOOKUP(B390,B$1:$L$601,1,FALSE)</f>
        <v>Dawn Caldwell</v>
      </c>
      <c r="AA394" s="6" t="str">
        <f>VLOOKUP(C390,C$1:$L$601,1,FALSE)</f>
        <v>Jeans</v>
      </c>
      <c r="AB394" s="6" t="str">
        <f>VLOOKUP(D390,D$1:$L$601,1,FALSE)</f>
        <v>Ripped Denim</v>
      </c>
      <c r="AC394" s="6">
        <f>VLOOKUP(E390,E$1:$L$601,1,FALSE)</f>
        <v>6</v>
      </c>
      <c r="AD394" s="6">
        <f>VLOOKUP(F390,F$1:$L$601,1,FALSE)</f>
        <v>4445.8100000000004</v>
      </c>
      <c r="AE394" s="6">
        <f>VLOOKUP(G390,G$1:$L$601,1,FALSE)</f>
        <v>0.58977272727272723</v>
      </c>
      <c r="AF394" s="6">
        <f>VLOOKUP(H390,H$1:$L$601,1,FALSE)</f>
        <v>0</v>
      </c>
      <c r="AG394" s="6">
        <f>VLOOKUP(I390,I$1:$L$601,1,FALSE)</f>
        <v>45626.838268792708</v>
      </c>
      <c r="AH394" s="6" t="str">
        <f>VLOOKUP(J390,J$1:$L$601,1,FALSE)</f>
        <v>DELHI</v>
      </c>
      <c r="AI394" s="6" t="str">
        <f>VLOOKUP(K390,K$1:$L$601,1,FALSE)</f>
        <v>B2C</v>
      </c>
      <c r="AJ394" s="6">
        <f>VLOOKUP(L390,L$1:$L$601,1,FALSE)</f>
        <v>-654.59</v>
      </c>
    </row>
    <row r="395" spans="1:36" x14ac:dyDescent="0.25">
      <c r="A395">
        <v>1415</v>
      </c>
      <c r="B395" t="s">
        <v>445</v>
      </c>
      <c r="C395" t="s">
        <v>21</v>
      </c>
      <c r="D395" t="s">
        <v>22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29</v>
      </c>
      <c r="K395" t="s">
        <v>16</v>
      </c>
      <c r="L395" s="2">
        <v>2661.23</v>
      </c>
      <c r="Y395" s="6">
        <f>VLOOKUP(A391,A$1:$L$601,1,FALSE)</f>
        <v>1411</v>
      </c>
      <c r="Z395" s="6" t="str">
        <f>VLOOKUP(B391,B$1:$L$601,1,FALSE)</f>
        <v>Michael Bond</v>
      </c>
      <c r="AA395" s="6" t="str">
        <f>VLOOKUP(C391,C$1:$L$601,1,FALSE)</f>
        <v>Dresses</v>
      </c>
      <c r="AB395" s="6" t="str">
        <f>VLOOKUP(D391,D$1:$L$601,1,FALSE)</f>
        <v>Wrap Dress</v>
      </c>
      <c r="AC395" s="6">
        <f>VLOOKUP(E391,E$1:$L$601,1,FALSE)</f>
        <v>2.1864406779661016</v>
      </c>
      <c r="AD395" s="6">
        <f>VLOOKUP(F391,F$1:$L$601,1,FALSE)</f>
        <v>4946.7700000000004</v>
      </c>
      <c r="AE395" s="6">
        <f>VLOOKUP(G391,G$1:$L$601,1,FALSE)</f>
        <v>0.55000000000000004</v>
      </c>
      <c r="AF395" s="6">
        <f>VLOOKUP(H391,H$1:$L$601,1,FALSE)</f>
        <v>0</v>
      </c>
      <c r="AG395" s="6">
        <f>VLOOKUP(I391,I$1:$L$601,1,FALSE)</f>
        <v>45626.838268792708</v>
      </c>
      <c r="AH395" s="6" t="str">
        <f>VLOOKUP(J391,J$1:$L$601,1,FALSE)</f>
        <v>MUMBAI</v>
      </c>
      <c r="AI395" s="6" t="str">
        <f>VLOOKUP(K391,K$1:$L$601,1,FALSE)</f>
        <v>B2C</v>
      </c>
      <c r="AJ395" s="6">
        <f>VLOOKUP(L391,L$1:$L$601,1,FALSE)</f>
        <v>1520.19</v>
      </c>
    </row>
    <row r="396" spans="1:36" x14ac:dyDescent="0.25">
      <c r="A396">
        <v>1416</v>
      </c>
      <c r="B396" t="s">
        <v>446</v>
      </c>
      <c r="C396" t="s">
        <v>31</v>
      </c>
      <c r="D396" t="s">
        <v>119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33</v>
      </c>
      <c r="K396" t="s">
        <v>16</v>
      </c>
      <c r="L396" s="2">
        <v>2286.48</v>
      </c>
      <c r="Y396" s="6">
        <f>VLOOKUP(A392,A$1:$L$601,1,FALSE)</f>
        <v>1412</v>
      </c>
      <c r="Z396" s="6" t="str">
        <f>VLOOKUP(B392,B$1:$L$601,1,FALSE)</f>
        <v>Luis Mcdaniel</v>
      </c>
      <c r="AA396" s="6" t="str">
        <f>VLOOKUP(C392,C$1:$L$601,1,FALSE)</f>
        <v>Shoes</v>
      </c>
      <c r="AB396" s="6" t="str">
        <f>VLOOKUP(D392,D$1:$L$601,1,FALSE)</f>
        <v>Slip-Ons</v>
      </c>
      <c r="AC396" s="6">
        <f>VLOOKUP(E392,E$1:$L$601,1,FALSE)</f>
        <v>1.6216216216216217</v>
      </c>
      <c r="AD396" s="6">
        <f>VLOOKUP(F392,F$1:$L$601,1,FALSE)</f>
        <v>2557.4251351351354</v>
      </c>
      <c r="AE396" s="6">
        <f>VLOOKUP(G392,G$1:$L$601,1,FALSE)</f>
        <v>0.59740740740740739</v>
      </c>
      <c r="AF396" s="6">
        <f>VLOOKUP(H392,H$1:$L$601,1,FALSE)</f>
        <v>0</v>
      </c>
      <c r="AG396" s="6">
        <f>VLOOKUP(I392,I$1:$L$601,1,FALSE)</f>
        <v>45533</v>
      </c>
      <c r="AH396" s="6" t="str">
        <f>VLOOKUP(J392,J$1:$L$601,1,FALSE)</f>
        <v>HYDERBAD</v>
      </c>
      <c r="AI396" s="6" t="str">
        <f>VLOOKUP(K392,K$1:$L$601,1,FALSE)</f>
        <v>B2C</v>
      </c>
      <c r="AJ396" s="6">
        <f>VLOOKUP(L392,L$1:$L$601,1,FALSE)</f>
        <v>2314.9299999999998</v>
      </c>
    </row>
    <row r="397" spans="1:36" x14ac:dyDescent="0.25">
      <c r="A397">
        <v>1417</v>
      </c>
      <c r="B397" t="s">
        <v>447</v>
      </c>
      <c r="C397" t="s">
        <v>41</v>
      </c>
      <c r="D397" t="s">
        <v>63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29</v>
      </c>
      <c r="K397" t="s">
        <v>24</v>
      </c>
      <c r="L397" s="2">
        <v>888.59</v>
      </c>
      <c r="Y397" s="6">
        <f>VLOOKUP(A393,A$1:$L$601,1,FALSE)</f>
        <v>1413</v>
      </c>
      <c r="Z397" s="6" t="str">
        <f>VLOOKUP(B393,B$1:$L$601,1,FALSE)</f>
        <v>Michael Harris</v>
      </c>
      <c r="AA397" s="6" t="str">
        <f>VLOOKUP(C393,C$1:$L$601,1,FALSE)</f>
        <v>Dresses</v>
      </c>
      <c r="AB397" s="6" t="str">
        <f>VLOOKUP(D393,D$1:$L$601,1,FALSE)</f>
        <v>Maxi Dress</v>
      </c>
      <c r="AC397" s="6">
        <f>VLOOKUP(E393,E$1:$L$601,1,FALSE)</f>
        <v>1</v>
      </c>
      <c r="AD397" s="6">
        <f>VLOOKUP(F393,F$1:$L$601,1,FALSE)</f>
        <v>2949.9901960784309</v>
      </c>
      <c r="AE397" s="6">
        <f>VLOOKUP(G393,G$1:$L$601,1,FALSE)</f>
        <v>0.17</v>
      </c>
      <c r="AF397" s="6">
        <f>VLOOKUP(H393,H$1:$L$601,1,FALSE)</f>
        <v>0</v>
      </c>
      <c r="AG397" s="6">
        <f>VLOOKUP(I393,I$1:$L$601,1,FALSE)</f>
        <v>45812</v>
      </c>
      <c r="AH397" s="6" t="str">
        <f>VLOOKUP(J393,J$1:$L$601,1,FALSE)</f>
        <v>AHMEDABAD</v>
      </c>
      <c r="AI397" s="6" t="str">
        <f>VLOOKUP(K393,K$1:$L$601,1,FALSE)</f>
        <v>B2C</v>
      </c>
      <c r="AJ397" s="6">
        <f>VLOOKUP(L393,L$1:$L$601,1,FALSE)</f>
        <v>1539.28</v>
      </c>
    </row>
    <row r="398" spans="1:36" x14ac:dyDescent="0.25">
      <c r="A398">
        <v>1418</v>
      </c>
      <c r="B398" t="s">
        <v>448</v>
      </c>
      <c r="C398" t="s">
        <v>41</v>
      </c>
      <c r="D398" t="s">
        <v>90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29</v>
      </c>
      <c r="K398" t="s">
        <v>24</v>
      </c>
      <c r="L398" s="2">
        <v>1403.76</v>
      </c>
      <c r="Y398" s="6">
        <f>VLOOKUP(A394,A$1:$L$601,1,FALSE)</f>
        <v>1414</v>
      </c>
      <c r="Z398" s="6" t="str">
        <f>VLOOKUP(B394,B$1:$L$601,1,FALSE)</f>
        <v>Elizabeth Buchanan</v>
      </c>
      <c r="AA398" s="6" t="str">
        <f>VLOOKUP(C394,C$1:$L$601,1,FALSE)</f>
        <v>T-Shirts</v>
      </c>
      <c r="AB398" s="6" t="str">
        <f>VLOOKUP(D394,D$1:$L$601,1,FALSE)</f>
        <v>Oversized T-Shirt</v>
      </c>
      <c r="AC398" s="6">
        <f>VLOOKUP(E394,E$1:$L$601,1,FALSE)</f>
        <v>1.5178571428571428</v>
      </c>
      <c r="AD398" s="6">
        <f>VLOOKUP(F394,F$1:$L$601,1,FALSE)</f>
        <v>2742.2927659574466</v>
      </c>
      <c r="AE398" s="6">
        <f>VLOOKUP(G394,G$1:$L$601,1,FALSE)</f>
        <v>0.65787878787878773</v>
      </c>
      <c r="AF398" s="6">
        <f>VLOOKUP(H394,H$1:$L$601,1,FALSE)</f>
        <v>0</v>
      </c>
      <c r="AG398" s="6">
        <f>VLOOKUP(I394,I$1:$L$601,1,FALSE)</f>
        <v>45846</v>
      </c>
      <c r="AH398" s="6" t="str">
        <f>VLOOKUP(J394,J$1:$L$601,1,FALSE)</f>
        <v>AHMEDABAD</v>
      </c>
      <c r="AI398" s="6" t="str">
        <f>VLOOKUP(K394,K$1:$L$601,1,FALSE)</f>
        <v>B2C</v>
      </c>
      <c r="AJ398" s="6">
        <f>VLOOKUP(L394,L$1:$L$601,1,FALSE)</f>
        <v>2843.55</v>
      </c>
    </row>
    <row r="399" spans="1:36" x14ac:dyDescent="0.25">
      <c r="A399">
        <v>1419</v>
      </c>
      <c r="B399" t="s">
        <v>449</v>
      </c>
      <c r="C399" t="s">
        <v>21</v>
      </c>
      <c r="D399" t="s">
        <v>79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33</v>
      </c>
      <c r="K399" t="s">
        <v>24</v>
      </c>
      <c r="L399" s="2">
        <v>-565.16999999999996</v>
      </c>
      <c r="Y399" s="6">
        <f>VLOOKUP(A395,A$1:$L$601,1,FALSE)</f>
        <v>1415</v>
      </c>
      <c r="Z399" s="6" t="str">
        <f>VLOOKUP(B395,B$1:$L$601,1,FALSE)</f>
        <v>Sydney Travis</v>
      </c>
      <c r="AA399" s="6" t="str">
        <f>VLOOKUP(C395,C$1:$L$601,1,FALSE)</f>
        <v>Jackets</v>
      </c>
      <c r="AB399" s="6" t="str">
        <f>VLOOKUP(D395,D$1:$L$601,1,FALSE)</f>
        <v>Puffer Coat</v>
      </c>
      <c r="AC399" s="6">
        <f>VLOOKUP(E395,E$1:$L$601,1,FALSE)</f>
        <v>1.8076923076923077</v>
      </c>
      <c r="AD399" s="6">
        <f>VLOOKUP(F395,F$1:$L$601,1,FALSE)</f>
        <v>3149</v>
      </c>
      <c r="AE399" s="6">
        <f>VLOOKUP(G395,G$1:$L$601,1,FALSE)</f>
        <v>0.69969696969696993</v>
      </c>
      <c r="AF399" s="6">
        <f>VLOOKUP(H395,H$1:$L$601,1,FALSE)</f>
        <v>0</v>
      </c>
      <c r="AG399" s="6">
        <f>VLOOKUP(I395,I$1:$L$601,1,FALSE)</f>
        <v>45626.838268792708</v>
      </c>
      <c r="AH399" s="6" t="str">
        <f>VLOOKUP(J395,J$1:$L$601,1,FALSE)</f>
        <v>BANGALORE</v>
      </c>
      <c r="AI399" s="6" t="str">
        <f>VLOOKUP(K395,K$1:$L$601,1,FALSE)</f>
        <v>B2C</v>
      </c>
      <c r="AJ399" s="6">
        <f>VLOOKUP(L395,L$1:$L$601,1,FALSE)</f>
        <v>2661.23</v>
      </c>
    </row>
    <row r="400" spans="1:36" x14ac:dyDescent="0.25">
      <c r="A400">
        <v>1420</v>
      </c>
      <c r="B400" t="s">
        <v>450</v>
      </c>
      <c r="C400" t="s">
        <v>27</v>
      </c>
      <c r="D400" t="s">
        <v>28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19</v>
      </c>
      <c r="K400" t="s">
        <v>24</v>
      </c>
      <c r="L400" s="2">
        <v>2790.42</v>
      </c>
      <c r="Y400" s="6">
        <f>VLOOKUP(A396,A$1:$L$601,1,FALSE)</f>
        <v>1416</v>
      </c>
      <c r="Z400" s="6" t="str">
        <f>VLOOKUP(B396,B$1:$L$601,1,FALSE)</f>
        <v>Joshua Johnson</v>
      </c>
      <c r="AA400" s="6" t="str">
        <f>VLOOKUP(C396,C$1:$L$601,1,FALSE)</f>
        <v>Accessories</v>
      </c>
      <c r="AB400" s="6" t="str">
        <f>VLOOKUP(D396,D$1:$L$601,1,FALSE)</f>
        <v>Watches</v>
      </c>
      <c r="AC400" s="6">
        <f>VLOOKUP(E396,E$1:$L$601,1,FALSE)</f>
        <v>2.4893617021276597</v>
      </c>
      <c r="AD400" s="6">
        <f>VLOOKUP(F396,F$1:$L$601,1,FALSE)</f>
        <v>3527.15</v>
      </c>
      <c r="AE400" s="6">
        <f>VLOOKUP(G396,G$1:$L$601,1,FALSE)</f>
        <v>0.70297297297297334</v>
      </c>
      <c r="AF400" s="6">
        <f>VLOOKUP(H396,H$1:$L$601,1,FALSE)</f>
        <v>0</v>
      </c>
      <c r="AG400" s="6">
        <f>VLOOKUP(I396,I$1:$L$601,1,FALSE)</f>
        <v>45253</v>
      </c>
      <c r="AH400" s="6" t="str">
        <f>VLOOKUP(J396,J$1:$L$601,1,FALSE)</f>
        <v>HYDERBAD</v>
      </c>
      <c r="AI400" s="6" t="str">
        <f>VLOOKUP(K396,K$1:$L$601,1,FALSE)</f>
        <v>B2C</v>
      </c>
      <c r="AJ400" s="6">
        <f>VLOOKUP(L396,L$1:$L$601,1,FALSE)</f>
        <v>2286.48</v>
      </c>
    </row>
    <row r="401" spans="1:36" x14ac:dyDescent="0.25">
      <c r="A401">
        <v>1421</v>
      </c>
      <c r="B401" t="s">
        <v>451</v>
      </c>
      <c r="C401" t="s">
        <v>36</v>
      </c>
      <c r="D401" t="s">
        <v>71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19</v>
      </c>
      <c r="K401" t="s">
        <v>16</v>
      </c>
      <c r="L401" s="2">
        <v>575.19000000000005</v>
      </c>
      <c r="Y401" s="6">
        <f>VLOOKUP(A397,A$1:$L$601,1,FALSE)</f>
        <v>1417</v>
      </c>
      <c r="Z401" s="6" t="str">
        <f>VLOOKUP(B397,B$1:$L$601,1,FALSE)</f>
        <v>Nicholas Harrell</v>
      </c>
      <c r="AA401" s="6" t="str">
        <f>VLOOKUP(C397,C$1:$L$601,1,FALSE)</f>
        <v>Dresses</v>
      </c>
      <c r="AB401" s="6" t="str">
        <f>VLOOKUP(D397,D$1:$L$601,1,FALSE)</f>
        <v>Wrap Dress</v>
      </c>
      <c r="AC401" s="6">
        <f>VLOOKUP(E397,E$1:$L$601,1,FALSE)</f>
        <v>2.1864406779661016</v>
      </c>
      <c r="AD401" s="6">
        <f>VLOOKUP(F397,F$1:$L$601,1,FALSE)</f>
        <v>2949.9901960784309</v>
      </c>
      <c r="AE401" s="6">
        <f>VLOOKUP(G397,G$1:$L$601,1,FALSE)</f>
        <v>0.55000000000000004</v>
      </c>
      <c r="AF401" s="6">
        <f>VLOOKUP(H397,H$1:$L$601,1,FALSE)</f>
        <v>0</v>
      </c>
      <c r="AG401" s="6">
        <f>VLOOKUP(I397,I$1:$L$601,1,FALSE)</f>
        <v>45515</v>
      </c>
      <c r="AH401" s="6" t="str">
        <f>VLOOKUP(J397,J$1:$L$601,1,FALSE)</f>
        <v>BANGALORE</v>
      </c>
      <c r="AI401" s="6" t="str">
        <f>VLOOKUP(K397,K$1:$L$601,1,FALSE)</f>
        <v>B2B</v>
      </c>
      <c r="AJ401" s="6">
        <f>VLOOKUP(L397,L$1:$L$601,1,FALSE)</f>
        <v>888.59</v>
      </c>
    </row>
    <row r="402" spans="1:36" x14ac:dyDescent="0.25">
      <c r="A402">
        <v>1422</v>
      </c>
      <c r="B402" t="s">
        <v>452</v>
      </c>
      <c r="C402" t="s">
        <v>13</v>
      </c>
      <c r="D402" t="s">
        <v>39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19</v>
      </c>
      <c r="K402" t="s">
        <v>24</v>
      </c>
      <c r="L402" s="2">
        <v>2168.7800000000002</v>
      </c>
      <c r="Y402" s="6">
        <f>VLOOKUP(A398,A$1:$L$601,1,FALSE)</f>
        <v>1418</v>
      </c>
      <c r="Z402" s="6" t="str">
        <f>VLOOKUP(B398,B$1:$L$601,1,FALSE)</f>
        <v>Christopher Anderson</v>
      </c>
      <c r="AA402" s="6" t="str">
        <f>VLOOKUP(C398,C$1:$L$601,1,FALSE)</f>
        <v>Dresses</v>
      </c>
      <c r="AB402" s="6" t="str">
        <f>VLOOKUP(D398,D$1:$L$601,1,FALSE)</f>
        <v>Bodycon</v>
      </c>
      <c r="AC402" s="6">
        <f>VLOOKUP(E398,E$1:$L$601,1,FALSE)</f>
        <v>2.1864406779661016</v>
      </c>
      <c r="AD402" s="6">
        <f>VLOOKUP(F398,F$1:$L$601,1,FALSE)</f>
        <v>2949.9901960784309</v>
      </c>
      <c r="AE402" s="6">
        <f>VLOOKUP(G398,G$1:$L$601,1,FALSE)</f>
        <v>0.13</v>
      </c>
      <c r="AF402" s="6">
        <f>VLOOKUP(H398,H$1:$L$601,1,FALSE)</f>
        <v>0</v>
      </c>
      <c r="AG402" s="6">
        <f>VLOOKUP(I398,I$1:$L$601,1,FALSE)</f>
        <v>45359</v>
      </c>
      <c r="AH402" s="6" t="str">
        <f>VLOOKUP(J398,J$1:$L$601,1,FALSE)</f>
        <v>BANGALORE</v>
      </c>
      <c r="AI402" s="6" t="str">
        <f>VLOOKUP(K398,K$1:$L$601,1,FALSE)</f>
        <v>B2B</v>
      </c>
      <c r="AJ402" s="6">
        <f>VLOOKUP(L398,L$1:$L$601,1,FALSE)</f>
        <v>1403.76</v>
      </c>
    </row>
    <row r="403" spans="1:36" x14ac:dyDescent="0.25">
      <c r="A403">
        <v>1423</v>
      </c>
      <c r="B403" t="s">
        <v>453</v>
      </c>
      <c r="C403" t="s">
        <v>21</v>
      </c>
      <c r="D403" t="s">
        <v>121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33</v>
      </c>
      <c r="K403" t="s">
        <v>16</v>
      </c>
      <c r="L403" s="2">
        <v>1302.05</v>
      </c>
      <c r="Y403" s="6">
        <f>VLOOKUP(A399,A$1:$L$601,1,FALSE)</f>
        <v>1419</v>
      </c>
      <c r="Z403" s="6" t="str">
        <f>VLOOKUP(B399,B$1:$L$601,1,FALSE)</f>
        <v>Brittney Rivera</v>
      </c>
      <c r="AA403" s="6" t="str">
        <f>VLOOKUP(C399,C$1:$L$601,1,FALSE)</f>
        <v>Jackets</v>
      </c>
      <c r="AB403" s="6" t="str">
        <f>VLOOKUP(D399,D$1:$L$601,1,FALSE)</f>
        <v>Bomber Jacket</v>
      </c>
      <c r="AC403" s="6">
        <f>VLOOKUP(E399,E$1:$L$601,1,FALSE)</f>
        <v>2</v>
      </c>
      <c r="AD403" s="6">
        <f>VLOOKUP(F399,F$1:$L$601,1,FALSE)</f>
        <v>2811.5702272727276</v>
      </c>
      <c r="AE403" s="6">
        <f>VLOOKUP(G399,G$1:$L$601,1,FALSE)</f>
        <v>0.69969696969696993</v>
      </c>
      <c r="AF403" s="6">
        <f>VLOOKUP(H399,H$1:$L$601,1,FALSE)</f>
        <v>0</v>
      </c>
      <c r="AG403" s="6">
        <f>VLOOKUP(I399,I$1:$L$601,1,FALSE)</f>
        <v>45580</v>
      </c>
      <c r="AH403" s="6" t="str">
        <f>VLOOKUP(J399,J$1:$L$601,1,FALSE)</f>
        <v>HYDERBAD</v>
      </c>
      <c r="AI403" s="6" t="str">
        <f>VLOOKUP(K399,K$1:$L$601,1,FALSE)</f>
        <v>B2B</v>
      </c>
      <c r="AJ403" s="6">
        <f>VLOOKUP(L399,L$1:$L$601,1,FALSE)</f>
        <v>-565.16999999999996</v>
      </c>
    </row>
    <row r="404" spans="1:36" x14ac:dyDescent="0.25">
      <c r="A404">
        <v>1424</v>
      </c>
      <c r="B404" t="s">
        <v>454</v>
      </c>
      <c r="C404" t="s">
        <v>36</v>
      </c>
      <c r="D404" t="s">
        <v>71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33</v>
      </c>
      <c r="K404" t="s">
        <v>16</v>
      </c>
      <c r="L404" s="2">
        <v>752.81</v>
      </c>
      <c r="Y404" s="6">
        <f>VLOOKUP(A400,A$1:$L$601,1,FALSE)</f>
        <v>1420</v>
      </c>
      <c r="Z404" s="6" t="str">
        <f>VLOOKUP(B400,B$1:$L$601,1,FALSE)</f>
        <v>James Patterson</v>
      </c>
      <c r="AA404" s="6" t="str">
        <f>VLOOKUP(C400,C$1:$L$601,1,FALSE)</f>
        <v>Shoes</v>
      </c>
      <c r="AB404" s="6" t="str">
        <f>VLOOKUP(D400,D$1:$L$601,1,FALSE)</f>
        <v>Loafers</v>
      </c>
      <c r="AC404" s="6">
        <f>VLOOKUP(E400,E$1:$L$601,1,FALSE)</f>
        <v>1.6216216216216217</v>
      </c>
      <c r="AD404" s="6">
        <f>VLOOKUP(F400,F$1:$L$601,1,FALSE)</f>
        <v>2557.4251351351354</v>
      </c>
      <c r="AE404" s="6">
        <f>VLOOKUP(G400,G$1:$L$601,1,FALSE)</f>
        <v>0.96</v>
      </c>
      <c r="AF404" s="6">
        <f>VLOOKUP(H400,H$1:$L$601,1,FALSE)</f>
        <v>0</v>
      </c>
      <c r="AG404" s="6">
        <f>VLOOKUP(I400,I$1:$L$601,1,FALSE)</f>
        <v>45814</v>
      </c>
      <c r="AH404" s="6" t="str">
        <f>VLOOKUP(J400,J$1:$L$601,1,FALSE)</f>
        <v>AHMEDABAD</v>
      </c>
      <c r="AI404" s="6" t="str">
        <f>VLOOKUP(K400,K$1:$L$601,1,FALSE)</f>
        <v>B2B</v>
      </c>
      <c r="AJ404" s="6">
        <f>VLOOKUP(L400,L$1:$L$601,1,FALSE)</f>
        <v>2790.42</v>
      </c>
    </row>
    <row r="405" spans="1:36" x14ac:dyDescent="0.25">
      <c r="A405">
        <v>1425</v>
      </c>
      <c r="B405" t="s">
        <v>455</v>
      </c>
      <c r="C405" t="s">
        <v>31</v>
      </c>
      <c r="D405" t="s">
        <v>140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48</v>
      </c>
      <c r="K405" t="s">
        <v>24</v>
      </c>
      <c r="L405" s="2">
        <v>2604.14</v>
      </c>
      <c r="Y405" s="6">
        <f>VLOOKUP(A401,A$1:$L$601,1,FALSE)</f>
        <v>1421</v>
      </c>
      <c r="Z405" s="6" t="str">
        <f>VLOOKUP(B401,B$1:$L$601,1,FALSE)</f>
        <v>Kenneth Jackson</v>
      </c>
      <c r="AA405" s="6" t="str">
        <f>VLOOKUP(C401,C$1:$L$601,1,FALSE)</f>
        <v>T-Shirts</v>
      </c>
      <c r="AB405" s="6" t="str">
        <f>VLOOKUP(D401,D$1:$L$601,1,FALSE)</f>
        <v>Classic Tee</v>
      </c>
      <c r="AC405" s="6">
        <f>VLOOKUP(E401,E$1:$L$601,1,FALSE)</f>
        <v>0</v>
      </c>
      <c r="AD405" s="6">
        <f>VLOOKUP(F401,F$1:$L$601,1,FALSE)</f>
        <v>2742.2927659574466</v>
      </c>
      <c r="AE405" s="6">
        <f>VLOOKUP(G401,G$1:$L$601,1,FALSE)</f>
        <v>0.65787878787878773</v>
      </c>
      <c r="AF405" s="6">
        <f>VLOOKUP(H401,H$1:$L$601,1,FALSE)</f>
        <v>0</v>
      </c>
      <c r="AG405" s="6">
        <f>VLOOKUP(I401,I$1:$L$601,1,FALSE)</f>
        <v>45853</v>
      </c>
      <c r="AH405" s="6" t="str">
        <f>VLOOKUP(J401,J$1:$L$601,1,FALSE)</f>
        <v>AHMEDABAD</v>
      </c>
      <c r="AI405" s="6" t="str">
        <f>VLOOKUP(K401,K$1:$L$601,1,FALSE)</f>
        <v>B2C</v>
      </c>
      <c r="AJ405" s="6">
        <f>VLOOKUP(L401,L$1:$L$601,1,FALSE)</f>
        <v>575.19000000000005</v>
      </c>
    </row>
    <row r="406" spans="1:36" x14ac:dyDescent="0.25">
      <c r="A406">
        <v>1426</v>
      </c>
      <c r="B406" t="s">
        <v>456</v>
      </c>
      <c r="C406" t="s">
        <v>13</v>
      </c>
      <c r="D406" t="s">
        <v>101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33</v>
      </c>
      <c r="K406" t="s">
        <v>24</v>
      </c>
      <c r="L406" s="2">
        <v>2860.99</v>
      </c>
      <c r="Y406" s="6">
        <f>VLOOKUP(A402,A$1:$L$601,1,FALSE)</f>
        <v>1422</v>
      </c>
      <c r="Z406" s="6" t="str">
        <f>VLOOKUP(B402,B$1:$L$601,1,FALSE)</f>
        <v>Marvin Cox</v>
      </c>
      <c r="AA406" s="6" t="str">
        <f>VLOOKUP(C402,C$1:$L$601,1,FALSE)</f>
        <v>Jeans</v>
      </c>
      <c r="AB406" s="6" t="str">
        <f>VLOOKUP(D402,D$1:$L$601,1,FALSE)</f>
        <v>Boyfriend Jeans</v>
      </c>
      <c r="AC406" s="6">
        <f>VLOOKUP(E402,E$1:$L$601,1,FALSE)</f>
        <v>2.1052631578947367</v>
      </c>
      <c r="AD406" s="6">
        <f>VLOOKUP(F402,F$1:$L$601,1,FALSE)</f>
        <v>4466.49</v>
      </c>
      <c r="AE406" s="6">
        <f>VLOOKUP(G402,G$1:$L$601,1,FALSE)</f>
        <v>0.58977272727272723</v>
      </c>
      <c r="AF406" s="6">
        <f>VLOOKUP(H402,H$1:$L$601,1,FALSE)</f>
        <v>0</v>
      </c>
      <c r="AG406" s="6">
        <f>VLOOKUP(I402,I$1:$L$601,1,FALSE)</f>
        <v>45933</v>
      </c>
      <c r="AH406" s="6" t="str">
        <f>VLOOKUP(J402,J$1:$L$601,1,FALSE)</f>
        <v>AHMEDABAD</v>
      </c>
      <c r="AI406" s="6" t="str">
        <f>VLOOKUP(K402,K$1:$L$601,1,FALSE)</f>
        <v>B2B</v>
      </c>
      <c r="AJ406" s="6">
        <f>VLOOKUP(L402,L$1:$L$601,1,FALSE)</f>
        <v>2168.7800000000002</v>
      </c>
    </row>
    <row r="407" spans="1:36" x14ac:dyDescent="0.25">
      <c r="A407">
        <v>1427</v>
      </c>
      <c r="B407" t="s">
        <v>457</v>
      </c>
      <c r="C407" t="s">
        <v>27</v>
      </c>
      <c r="D407" t="s">
        <v>85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23</v>
      </c>
      <c r="K407" t="s">
        <v>16</v>
      </c>
      <c r="L407" s="2">
        <v>2795.17</v>
      </c>
      <c r="Y407" s="6">
        <f>VLOOKUP(A403,A$1:$L$601,1,FALSE)</f>
        <v>1423</v>
      </c>
      <c r="Z407" s="6" t="str">
        <f>VLOOKUP(B403,B$1:$L$601,1,FALSE)</f>
        <v>Christopher Reeves</v>
      </c>
      <c r="AA407" s="6" t="str">
        <f>VLOOKUP(C403,C$1:$L$601,1,FALSE)</f>
        <v>Jackets</v>
      </c>
      <c r="AB407" s="6" t="str">
        <f>VLOOKUP(D403,D$1:$L$601,1,FALSE)</f>
        <v>Leather Jacket</v>
      </c>
      <c r="AC407" s="6">
        <f>VLOOKUP(E403,E$1:$L$601,1,FALSE)</f>
        <v>1.8076923076923077</v>
      </c>
      <c r="AD407" s="6">
        <f>VLOOKUP(F403,F$1:$L$601,1,FALSE)</f>
        <v>2811.5702272727276</v>
      </c>
      <c r="AE407" s="6">
        <f>VLOOKUP(G403,G$1:$L$601,1,FALSE)</f>
        <v>0.69969696969696993</v>
      </c>
      <c r="AF407" s="6">
        <f>VLOOKUP(H403,H$1:$L$601,1,FALSE)</f>
        <v>0</v>
      </c>
      <c r="AG407" s="6">
        <f>VLOOKUP(I403,I$1:$L$601,1,FALSE)</f>
        <v>45710</v>
      </c>
      <c r="AH407" s="6" t="str">
        <f>VLOOKUP(J403,J$1:$L$601,1,FALSE)</f>
        <v>HYDERBAD</v>
      </c>
      <c r="AI407" s="6" t="str">
        <f>VLOOKUP(K403,K$1:$L$601,1,FALSE)</f>
        <v>B2C</v>
      </c>
      <c r="AJ407" s="6">
        <f>VLOOKUP(L403,L$1:$L$601,1,FALSE)</f>
        <v>1302.05</v>
      </c>
    </row>
    <row r="408" spans="1:36" x14ac:dyDescent="0.25">
      <c r="A408">
        <v>1429</v>
      </c>
      <c r="B408" t="s">
        <v>458</v>
      </c>
      <c r="C408" t="s">
        <v>41</v>
      </c>
      <c r="D408" t="s">
        <v>90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24</v>
      </c>
      <c r="L408" s="2">
        <v>-358.22</v>
      </c>
      <c r="Y408" s="6">
        <f>VLOOKUP(A404,A$1:$L$601,1,FALSE)</f>
        <v>1424</v>
      </c>
      <c r="Z408" s="6" t="str">
        <f>VLOOKUP(B404,B$1:$L$601,1,FALSE)</f>
        <v>Jennifer Villarreal</v>
      </c>
      <c r="AA408" s="6" t="str">
        <f>VLOOKUP(C404,C$1:$L$601,1,FALSE)</f>
        <v>T-Shirts</v>
      </c>
      <c r="AB408" s="6" t="str">
        <f>VLOOKUP(D404,D$1:$L$601,1,FALSE)</f>
        <v>Classic Tee</v>
      </c>
      <c r="AC408" s="6">
        <f>VLOOKUP(E404,E$1:$L$601,1,FALSE)</f>
        <v>1.5178571428571428</v>
      </c>
      <c r="AD408" s="6">
        <f>VLOOKUP(F404,F$1:$L$601,1,FALSE)</f>
        <v>538.6</v>
      </c>
      <c r="AE408" s="6">
        <f>VLOOKUP(G404,G$1:$L$601,1,FALSE)</f>
        <v>1.18E-2</v>
      </c>
      <c r="AF408" s="6">
        <f>VLOOKUP(H404,H$1:$L$601,1,FALSE)</f>
        <v>96.95</v>
      </c>
      <c r="AG408" s="6">
        <f>VLOOKUP(I404,I$1:$L$601,1,FALSE)</f>
        <v>45661</v>
      </c>
      <c r="AH408" s="6" t="str">
        <f>VLOOKUP(J404,J$1:$L$601,1,FALSE)</f>
        <v>HYDERBAD</v>
      </c>
      <c r="AI408" s="6" t="str">
        <f>VLOOKUP(K404,K$1:$L$601,1,FALSE)</f>
        <v>B2C</v>
      </c>
      <c r="AJ408" s="6">
        <f>VLOOKUP(L404,L$1:$L$601,1,FALSE)</f>
        <v>752.81</v>
      </c>
    </row>
    <row r="409" spans="1:36" x14ac:dyDescent="0.25">
      <c r="A409">
        <v>1430</v>
      </c>
      <c r="B409" t="s">
        <v>459</v>
      </c>
      <c r="C409" t="s">
        <v>13</v>
      </c>
      <c r="D409" t="s">
        <v>51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48</v>
      </c>
      <c r="K409" t="s">
        <v>16</v>
      </c>
      <c r="L409" s="2">
        <v>2045.56</v>
      </c>
      <c r="Y409" s="6">
        <f>VLOOKUP(A405,A$1:$L$601,1,FALSE)</f>
        <v>1425</v>
      </c>
      <c r="Z409" s="6" t="str">
        <f>VLOOKUP(B405,B$1:$L$601,1,FALSE)</f>
        <v>Stacey Irwin</v>
      </c>
      <c r="AA409" s="6" t="str">
        <f>VLOOKUP(C405,C$1:$L$601,1,FALSE)</f>
        <v>Accessories</v>
      </c>
      <c r="AB409" s="6" t="str">
        <f>VLOOKUP(D405,D$1:$L$601,1,FALSE)</f>
        <v>Caps</v>
      </c>
      <c r="AC409" s="6">
        <f>VLOOKUP(E405,E$1:$L$601,1,FALSE)</f>
        <v>2.4893617021276597</v>
      </c>
      <c r="AD409" s="6">
        <f>VLOOKUP(F405,F$1:$L$601,1,FALSE)</f>
        <v>1133.73</v>
      </c>
      <c r="AE409" s="6">
        <f>VLOOKUP(G405,G$1:$L$601,1,FALSE)</f>
        <v>0.70297297297297334</v>
      </c>
      <c r="AF409" s="6">
        <f>VLOOKUP(H405,H$1:$L$601,1,FALSE)</f>
        <v>0</v>
      </c>
      <c r="AG409" s="6">
        <f>VLOOKUP(I405,I$1:$L$601,1,FALSE)</f>
        <v>45656</v>
      </c>
      <c r="AH409" s="6" t="str">
        <f>VLOOKUP(J405,J$1:$L$601,1,FALSE)</f>
        <v>PUNE</v>
      </c>
      <c r="AI409" s="6" t="str">
        <f>VLOOKUP(K405,K$1:$L$601,1,FALSE)</f>
        <v>B2B</v>
      </c>
      <c r="AJ409" s="6">
        <f>VLOOKUP(L405,L$1:$L$601,1,FALSE)</f>
        <v>2604.14</v>
      </c>
    </row>
    <row r="410" spans="1:36" x14ac:dyDescent="0.25">
      <c r="A410">
        <v>1431</v>
      </c>
      <c r="B410" t="s">
        <v>460</v>
      </c>
      <c r="C410" t="s">
        <v>31</v>
      </c>
      <c r="D410" t="s">
        <v>119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24</v>
      </c>
      <c r="L410" s="2">
        <v>2191.02</v>
      </c>
      <c r="Y410" s="6">
        <f>VLOOKUP(A406,A$1:$L$601,1,FALSE)</f>
        <v>1426</v>
      </c>
      <c r="Z410" s="6" t="str">
        <f>VLOOKUP(B406,B$1:$L$601,1,FALSE)</f>
        <v>Bryan Parks</v>
      </c>
      <c r="AA410" s="6" t="str">
        <f>VLOOKUP(C406,C$1:$L$601,1,FALSE)</f>
        <v>Jeans</v>
      </c>
      <c r="AB410" s="6" t="str">
        <f>VLOOKUP(D406,D$1:$L$601,1,FALSE)</f>
        <v>Ripped Denim</v>
      </c>
      <c r="AC410" s="6">
        <f>VLOOKUP(E406,E$1:$L$601,1,FALSE)</f>
        <v>1.5178571428571428</v>
      </c>
      <c r="AD410" s="6">
        <f>VLOOKUP(F406,F$1:$L$601,1,FALSE)</f>
        <v>3175.17</v>
      </c>
      <c r="AE410" s="6">
        <f>VLOOKUP(G406,G$1:$L$601,1,FALSE)</f>
        <v>0.86</v>
      </c>
      <c r="AF410" s="6">
        <f>VLOOKUP(H406,H$1:$L$601,1,FALSE)</f>
        <v>-889.05</v>
      </c>
      <c r="AG410" s="6">
        <f>VLOOKUP(I406,I$1:$L$601,1,FALSE)</f>
        <v>45626.838268792708</v>
      </c>
      <c r="AH410" s="6" t="str">
        <f>VLOOKUP(J406,J$1:$L$601,1,FALSE)</f>
        <v>HYDERBAD</v>
      </c>
      <c r="AI410" s="6" t="str">
        <f>VLOOKUP(K406,K$1:$L$601,1,FALSE)</f>
        <v>B2B</v>
      </c>
      <c r="AJ410" s="6">
        <f>VLOOKUP(L406,L$1:$L$601,1,FALSE)</f>
        <v>2860.99</v>
      </c>
    </row>
    <row r="411" spans="1:36" x14ac:dyDescent="0.25">
      <c r="A411">
        <v>1432</v>
      </c>
      <c r="B411" t="s">
        <v>461</v>
      </c>
      <c r="C411" t="s">
        <v>27</v>
      </c>
      <c r="D411" t="s">
        <v>55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19</v>
      </c>
      <c r="K411" t="s">
        <v>24</v>
      </c>
      <c r="L411" s="2">
        <v>-849.15</v>
      </c>
      <c r="Y411" s="6">
        <f>VLOOKUP(A407,A$1:$L$601,1,FALSE)</f>
        <v>1427</v>
      </c>
      <c r="Z411" s="6" t="str">
        <f>VLOOKUP(B407,B$1:$L$601,1,FALSE)</f>
        <v>Angela Hall</v>
      </c>
      <c r="AA411" s="6" t="str">
        <f>VLOOKUP(C407,C$1:$L$601,1,FALSE)</f>
        <v>Shoes</v>
      </c>
      <c r="AB411" s="6" t="str">
        <f>VLOOKUP(D407,D$1:$L$601,1,FALSE)</f>
        <v>Boots</v>
      </c>
      <c r="AC411" s="6">
        <f>VLOOKUP(E407,E$1:$L$601,1,FALSE)</f>
        <v>1.6216216216216217</v>
      </c>
      <c r="AD411" s="6">
        <f>VLOOKUP(F407,F$1:$L$601,1,FALSE)</f>
        <v>2557.4251351351354</v>
      </c>
      <c r="AE411" s="6">
        <f>VLOOKUP(G407,G$1:$L$601,1,FALSE)</f>
        <v>0.59740740740740739</v>
      </c>
      <c r="AF411" s="6">
        <f>VLOOKUP(H407,H$1:$L$601,1,FALSE)</f>
        <v>0</v>
      </c>
      <c r="AG411" s="6">
        <f>VLOOKUP(I407,I$1:$L$601,1,FALSE)</f>
        <v>45826</v>
      </c>
      <c r="AH411" s="6" t="str">
        <f>VLOOKUP(J407,J$1:$L$601,1,FALSE)</f>
        <v>MUMBAI</v>
      </c>
      <c r="AI411" s="6" t="str">
        <f>VLOOKUP(K407,K$1:$L$601,1,FALSE)</f>
        <v>B2C</v>
      </c>
      <c r="AJ411" s="6">
        <f>VLOOKUP(L407,L$1:$L$601,1,FALSE)</f>
        <v>2795.17</v>
      </c>
    </row>
    <row r="412" spans="1:36" x14ac:dyDescent="0.25">
      <c r="A412">
        <v>1433</v>
      </c>
      <c r="B412" t="s">
        <v>462</v>
      </c>
      <c r="C412" t="s">
        <v>36</v>
      </c>
      <c r="D412" t="s">
        <v>46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23</v>
      </c>
      <c r="K412" t="s">
        <v>24</v>
      </c>
      <c r="L412" s="2">
        <v>-878.85</v>
      </c>
      <c r="Y412" s="6">
        <f>VLOOKUP(A408,A$1:$L$601,1,FALSE)</f>
        <v>1429</v>
      </c>
      <c r="Z412" s="6" t="str">
        <f>VLOOKUP(B408,B$1:$L$601,1,FALSE)</f>
        <v>Travis Vargas</v>
      </c>
      <c r="AA412" s="6" t="str">
        <f>VLOOKUP(C408,C$1:$L$601,1,FALSE)</f>
        <v>Dresses</v>
      </c>
      <c r="AB412" s="6" t="str">
        <f>VLOOKUP(D408,D$1:$L$601,1,FALSE)</f>
        <v>Bodycon</v>
      </c>
      <c r="AC412" s="6">
        <f>VLOOKUP(E408,E$1:$L$601,1,FALSE)</f>
        <v>2.1864406779661016</v>
      </c>
      <c r="AD412" s="6">
        <f>VLOOKUP(F408,F$1:$L$601,1,FALSE)</f>
        <v>3292.01</v>
      </c>
      <c r="AE412" s="6">
        <f>VLOOKUP(G408,G$1:$L$601,1,FALSE)</f>
        <v>0.55000000000000004</v>
      </c>
      <c r="AF412" s="6">
        <f>VLOOKUP(H408,H$1:$L$601,1,FALSE)</f>
        <v>0</v>
      </c>
      <c r="AG412" s="6">
        <f>VLOOKUP(I408,I$1:$L$601,1,FALSE)</f>
        <v>45568</v>
      </c>
      <c r="AH412" s="6" t="str">
        <f>VLOOKUP(J408,J$1:$L$601,1,FALSE)</f>
        <v>DELHI</v>
      </c>
      <c r="AI412" s="6" t="str">
        <f>VLOOKUP(K408,K$1:$L$601,1,FALSE)</f>
        <v>B2B</v>
      </c>
      <c r="AJ412" s="6">
        <f>VLOOKUP(L408,L$1:$L$601,1,FALSE)</f>
        <v>-358.22</v>
      </c>
    </row>
    <row r="413" spans="1:36" x14ac:dyDescent="0.25">
      <c r="A413">
        <v>1434</v>
      </c>
      <c r="B413" t="s">
        <v>463</v>
      </c>
      <c r="C413" t="s">
        <v>13</v>
      </c>
      <c r="D413" t="s">
        <v>39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33</v>
      </c>
      <c r="K413" t="s">
        <v>16</v>
      </c>
      <c r="L413" s="2">
        <v>-310.8</v>
      </c>
      <c r="Y413" s="6">
        <f>VLOOKUP(A409,A$1:$L$601,1,FALSE)</f>
        <v>1430</v>
      </c>
      <c r="Z413" s="6" t="str">
        <f>VLOOKUP(B409,B$1:$L$601,1,FALSE)</f>
        <v>Rose Delgado</v>
      </c>
      <c r="AA413" s="6" t="str">
        <f>VLOOKUP(C409,C$1:$L$601,1,FALSE)</f>
        <v>Jeans</v>
      </c>
      <c r="AB413" s="6" t="str">
        <f>VLOOKUP(D409,D$1:$L$601,1,FALSE)</f>
        <v>Straight Cut</v>
      </c>
      <c r="AC413" s="6">
        <f>VLOOKUP(E409,E$1:$L$601,1,FALSE)</f>
        <v>1.5178571428571428</v>
      </c>
      <c r="AD413" s="6">
        <f>VLOOKUP(F409,F$1:$L$601,1,FALSE)</f>
        <v>2676.4254237288142</v>
      </c>
      <c r="AE413" s="6">
        <f>VLOOKUP(G409,G$1:$L$601,1,FALSE)</f>
        <v>0.67</v>
      </c>
      <c r="AF413" s="6">
        <f>VLOOKUP(H409,H$1:$L$601,1,FALSE)</f>
        <v>0</v>
      </c>
      <c r="AG413" s="6">
        <f>VLOOKUP(I409,I$1:$L$601,1,FALSE)</f>
        <v>45789</v>
      </c>
      <c r="AH413" s="6" t="str">
        <f>VLOOKUP(J409,J$1:$L$601,1,FALSE)</f>
        <v>PUNE</v>
      </c>
      <c r="AI413" s="6" t="str">
        <f>VLOOKUP(K409,K$1:$L$601,1,FALSE)</f>
        <v>B2C</v>
      </c>
      <c r="AJ413" s="6">
        <f>VLOOKUP(L409,L$1:$L$601,1,FALSE)</f>
        <v>2045.56</v>
      </c>
    </row>
    <row r="414" spans="1:36" x14ac:dyDescent="0.25">
      <c r="A414">
        <v>1435</v>
      </c>
      <c r="B414" t="s">
        <v>464</v>
      </c>
      <c r="C414" t="s">
        <v>36</v>
      </c>
      <c r="D414" t="s">
        <v>71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33</v>
      </c>
      <c r="K414" t="s">
        <v>24</v>
      </c>
      <c r="L414" s="2">
        <v>904.65</v>
      </c>
      <c r="Y414" s="6">
        <f>VLOOKUP(A410,A$1:$L$601,1,FALSE)</f>
        <v>1431</v>
      </c>
      <c r="Z414" s="6" t="str">
        <f>VLOOKUP(B410,B$1:$L$601,1,FALSE)</f>
        <v>Jennifer Lyons</v>
      </c>
      <c r="AA414" s="6" t="str">
        <f>VLOOKUP(C410,C$1:$L$601,1,FALSE)</f>
        <v>Accessories</v>
      </c>
      <c r="AB414" s="6" t="str">
        <f>VLOOKUP(D410,D$1:$L$601,1,FALSE)</f>
        <v>Watches</v>
      </c>
      <c r="AC414" s="6">
        <f>VLOOKUP(E410,E$1:$L$601,1,FALSE)</f>
        <v>2.4893617021276597</v>
      </c>
      <c r="AD414" s="6">
        <f>VLOOKUP(F410,F$1:$L$601,1,FALSE)</f>
        <v>2706.1301960784322</v>
      </c>
      <c r="AE414" s="6">
        <f>VLOOKUP(G410,G$1:$L$601,1,FALSE)</f>
        <v>0.70297297297297334</v>
      </c>
      <c r="AF414" s="6">
        <f>VLOOKUP(H410,H$1:$L$601,1,FALSE)</f>
        <v>0</v>
      </c>
      <c r="AG414" s="6">
        <f>VLOOKUP(I410,I$1:$L$601,1,FALSE)</f>
        <v>45776</v>
      </c>
      <c r="AH414" s="6" t="str">
        <f>VLOOKUP(J410,J$1:$L$601,1,FALSE)</f>
        <v>DELHI</v>
      </c>
      <c r="AI414" s="6" t="str">
        <f>VLOOKUP(K410,K$1:$L$601,1,FALSE)</f>
        <v>B2B</v>
      </c>
      <c r="AJ414" s="6">
        <f>VLOOKUP(L410,L$1:$L$601,1,FALSE)</f>
        <v>2191.02</v>
      </c>
    </row>
    <row r="415" spans="1:36" x14ac:dyDescent="0.25">
      <c r="A415">
        <v>1436</v>
      </c>
      <c r="B415" t="s">
        <v>465</v>
      </c>
      <c r="C415" t="s">
        <v>36</v>
      </c>
      <c r="D415" t="s">
        <v>71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19</v>
      </c>
      <c r="K415" t="s">
        <v>16</v>
      </c>
      <c r="L415" s="2">
        <v>1445.93</v>
      </c>
      <c r="Y415" s="6">
        <f>VLOOKUP(A411,A$1:$L$601,1,FALSE)</f>
        <v>1432</v>
      </c>
      <c r="Z415" s="6" t="str">
        <f>VLOOKUP(B411,B$1:$L$601,1,FALSE)</f>
        <v>Steven Taylor</v>
      </c>
      <c r="AA415" s="6" t="str">
        <f>VLOOKUP(C411,C$1:$L$601,1,FALSE)</f>
        <v>Shoes</v>
      </c>
      <c r="AB415" s="6" t="str">
        <f>VLOOKUP(D411,D$1:$L$601,1,FALSE)</f>
        <v>Sneakers</v>
      </c>
      <c r="AC415" s="6">
        <f>VLOOKUP(E411,E$1:$L$601,1,FALSE)</f>
        <v>1.6216216216216217</v>
      </c>
      <c r="AD415" s="6">
        <f>VLOOKUP(F411,F$1:$L$601,1,FALSE)</f>
        <v>2557.4251351351354</v>
      </c>
      <c r="AE415" s="6">
        <f>VLOOKUP(G411,G$1:$L$601,1,FALSE)</f>
        <v>0.59740740740740739</v>
      </c>
      <c r="AF415" s="6">
        <f>VLOOKUP(H411,H$1:$L$601,1,FALSE)</f>
        <v>0</v>
      </c>
      <c r="AG415" s="6">
        <f>VLOOKUP(I411,I$1:$L$601,1,FALSE)</f>
        <v>45445</v>
      </c>
      <c r="AH415" s="6" t="str">
        <f>VLOOKUP(J411,J$1:$L$601,1,FALSE)</f>
        <v>AHMEDABAD</v>
      </c>
      <c r="AI415" s="6" t="str">
        <f>VLOOKUP(K411,K$1:$L$601,1,FALSE)</f>
        <v>B2B</v>
      </c>
      <c r="AJ415" s="6">
        <f>VLOOKUP(L411,L$1:$L$601,1,FALSE)</f>
        <v>-849.15</v>
      </c>
    </row>
    <row r="416" spans="1:36" x14ac:dyDescent="0.25">
      <c r="A416">
        <v>1437</v>
      </c>
      <c r="B416" t="s">
        <v>466</v>
      </c>
      <c r="C416" t="s">
        <v>13</v>
      </c>
      <c r="D416" t="s">
        <v>39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  <c r="Y416" s="6">
        <f>VLOOKUP(A412,A$1:$L$601,1,FALSE)</f>
        <v>1433</v>
      </c>
      <c r="Z416" s="6" t="str">
        <f>VLOOKUP(B412,B$1:$L$601,1,FALSE)</f>
        <v>Jesse Cooke</v>
      </c>
      <c r="AA416" s="6" t="str">
        <f>VLOOKUP(C412,C$1:$L$601,1,FALSE)</f>
        <v>T-Shirts</v>
      </c>
      <c r="AB416" s="6" t="str">
        <f>VLOOKUP(D412,D$1:$L$601,1,FALSE)</f>
        <v>Oversized T-Shirt</v>
      </c>
      <c r="AC416" s="6">
        <f>VLOOKUP(E412,E$1:$L$601,1,FALSE)</f>
        <v>2</v>
      </c>
      <c r="AD416" s="6">
        <f>VLOOKUP(F412,F$1:$L$601,1,FALSE)</f>
        <v>2742.2927659574466</v>
      </c>
      <c r="AE416" s="6">
        <f>VLOOKUP(G412,G$1:$L$601,1,FALSE)</f>
        <v>0.7</v>
      </c>
      <c r="AF416" s="6">
        <f>VLOOKUP(H412,H$1:$L$601,1,FALSE)</f>
        <v>0</v>
      </c>
      <c r="AG416" s="6">
        <f>VLOOKUP(I412,I$1:$L$601,1,FALSE)</f>
        <v>45748</v>
      </c>
      <c r="AH416" s="6" t="str">
        <f>VLOOKUP(J412,J$1:$L$601,1,FALSE)</f>
        <v>MUMBAI</v>
      </c>
      <c r="AI416" s="6" t="str">
        <f>VLOOKUP(K412,K$1:$L$601,1,FALSE)</f>
        <v>B2B</v>
      </c>
      <c r="AJ416" s="6">
        <f>VLOOKUP(L412,L$1:$L$601,1,FALSE)</f>
        <v>-878.85</v>
      </c>
    </row>
    <row r="417" spans="1:36" x14ac:dyDescent="0.25">
      <c r="A417">
        <v>1438</v>
      </c>
      <c r="B417" t="s">
        <v>467</v>
      </c>
      <c r="C417" t="s">
        <v>41</v>
      </c>
      <c r="D417" t="s">
        <v>63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48</v>
      </c>
      <c r="K417" t="s">
        <v>16</v>
      </c>
      <c r="L417" s="2">
        <v>1014.29</v>
      </c>
      <c r="Y417" s="6">
        <f>VLOOKUP(A413,A$1:$L$601,1,FALSE)</f>
        <v>1434</v>
      </c>
      <c r="Z417" s="6" t="str">
        <f>VLOOKUP(B413,B$1:$L$601,1,FALSE)</f>
        <v>Marie Sullivan</v>
      </c>
      <c r="AA417" s="6" t="str">
        <f>VLOOKUP(C413,C$1:$L$601,1,FALSE)</f>
        <v>Jeans</v>
      </c>
      <c r="AB417" s="6" t="str">
        <f>VLOOKUP(D413,D$1:$L$601,1,FALSE)</f>
        <v>Boyfriend Jeans</v>
      </c>
      <c r="AC417" s="6">
        <f>VLOOKUP(E413,E$1:$L$601,1,FALSE)</f>
        <v>0</v>
      </c>
      <c r="AD417" s="6">
        <f>VLOOKUP(F413,F$1:$L$601,1,FALSE)</f>
        <v>476.2</v>
      </c>
      <c r="AE417" s="6">
        <f>VLOOKUP(G413,G$1:$L$601,1,FALSE)</f>
        <v>1.03E-2</v>
      </c>
      <c r="AF417" s="6">
        <f>VLOOKUP(H413,H$1:$L$601,1,FALSE)</f>
        <v>0</v>
      </c>
      <c r="AG417" s="6">
        <f>VLOOKUP(I413,I$1:$L$601,1,FALSE)</f>
        <v>45512</v>
      </c>
      <c r="AH417" s="6" t="str">
        <f>VLOOKUP(J413,J$1:$L$601,1,FALSE)</f>
        <v>HYDERBAD</v>
      </c>
      <c r="AI417" s="6" t="str">
        <f>VLOOKUP(K413,K$1:$L$601,1,FALSE)</f>
        <v>B2C</v>
      </c>
      <c r="AJ417" s="6">
        <f>VLOOKUP(L413,L$1:$L$601,1,FALSE)</f>
        <v>-310.8</v>
      </c>
    </row>
    <row r="418" spans="1:36" x14ac:dyDescent="0.25">
      <c r="A418">
        <v>1439</v>
      </c>
      <c r="B418" t="s">
        <v>468</v>
      </c>
      <c r="C418" t="s">
        <v>36</v>
      </c>
      <c r="D418" t="s">
        <v>81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19</v>
      </c>
      <c r="K418" t="s">
        <v>24</v>
      </c>
      <c r="L418" s="2">
        <v>726.42</v>
      </c>
      <c r="Y418" s="6">
        <f>VLOOKUP(A414,A$1:$L$601,1,FALSE)</f>
        <v>1435</v>
      </c>
      <c r="Z418" s="6" t="str">
        <f>VLOOKUP(B414,B$1:$L$601,1,FALSE)</f>
        <v>Nicole Mills</v>
      </c>
      <c r="AA418" s="6" t="str">
        <f>VLOOKUP(C414,C$1:$L$601,1,FALSE)</f>
        <v>T-Shirts</v>
      </c>
      <c r="AB418" s="6" t="str">
        <f>VLOOKUP(D414,D$1:$L$601,1,FALSE)</f>
        <v>Classic Tee</v>
      </c>
      <c r="AC418" s="6">
        <f>VLOOKUP(E414,E$1:$L$601,1,FALSE)</f>
        <v>3</v>
      </c>
      <c r="AD418" s="6">
        <f>VLOOKUP(F414,F$1:$L$601,1,FALSE)</f>
        <v>2742.2927659574466</v>
      </c>
      <c r="AE418" s="6">
        <f>VLOOKUP(G414,G$1:$L$601,1,FALSE)</f>
        <v>0.65787878787878773</v>
      </c>
      <c r="AF418" s="6">
        <f>VLOOKUP(H414,H$1:$L$601,1,FALSE)</f>
        <v>0</v>
      </c>
      <c r="AG418" s="6">
        <f>VLOOKUP(I414,I$1:$L$601,1,FALSE)</f>
        <v>45763</v>
      </c>
      <c r="AH418" s="6" t="str">
        <f>VLOOKUP(J414,J$1:$L$601,1,FALSE)</f>
        <v>HYDERBAD</v>
      </c>
      <c r="AI418" s="6" t="str">
        <f>VLOOKUP(K414,K$1:$L$601,1,FALSE)</f>
        <v>B2B</v>
      </c>
      <c r="AJ418" s="6">
        <f>VLOOKUP(L414,L$1:$L$601,1,FALSE)</f>
        <v>904.65</v>
      </c>
    </row>
    <row r="419" spans="1:36" x14ac:dyDescent="0.25">
      <c r="A419">
        <v>1440</v>
      </c>
      <c r="B419" t="s">
        <v>469</v>
      </c>
      <c r="C419" t="s">
        <v>41</v>
      </c>
      <c r="D419" t="s">
        <v>90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33</v>
      </c>
      <c r="K419" t="s">
        <v>16</v>
      </c>
      <c r="L419" s="2">
        <v>-476.72</v>
      </c>
      <c r="Y419" s="6">
        <f>VLOOKUP(A415,A$1:$L$601,1,FALSE)</f>
        <v>1436</v>
      </c>
      <c r="Z419" s="6" t="str">
        <f>VLOOKUP(B415,B$1:$L$601,1,FALSE)</f>
        <v>Erin Yu</v>
      </c>
      <c r="AA419" s="6" t="str">
        <f>VLOOKUP(C415,C$1:$L$601,1,FALSE)</f>
        <v>T-Shirts</v>
      </c>
      <c r="AB419" s="6" t="str">
        <f>VLOOKUP(D415,D$1:$L$601,1,FALSE)</f>
        <v>Classic Tee</v>
      </c>
      <c r="AC419" s="6">
        <f>VLOOKUP(E415,E$1:$L$601,1,FALSE)</f>
        <v>1.5178571428571428</v>
      </c>
      <c r="AD419" s="6">
        <f>VLOOKUP(F415,F$1:$L$601,1,FALSE)</f>
        <v>2742.2927659574466</v>
      </c>
      <c r="AE419" s="6">
        <f>VLOOKUP(G415,G$1:$L$601,1,FALSE)</f>
        <v>1.26E-2</v>
      </c>
      <c r="AF419" s="6">
        <f>VLOOKUP(H415,H$1:$L$601,1,FALSE)</f>
        <v>0</v>
      </c>
      <c r="AG419" s="6">
        <f>VLOOKUP(I415,I$1:$L$601,1,FALSE)</f>
        <v>45517</v>
      </c>
      <c r="AH419" s="6" t="str">
        <f>VLOOKUP(J415,J$1:$L$601,1,FALSE)</f>
        <v>AHMEDABAD</v>
      </c>
      <c r="AI419" s="6" t="str">
        <f>VLOOKUP(K415,K$1:$L$601,1,FALSE)</f>
        <v>B2C</v>
      </c>
      <c r="AJ419" s="6">
        <f>VLOOKUP(L415,L$1:$L$601,1,FALSE)</f>
        <v>1445.93</v>
      </c>
    </row>
    <row r="420" spans="1:36" x14ac:dyDescent="0.25">
      <c r="A420">
        <v>1441</v>
      </c>
      <c r="B420" t="s">
        <v>470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29</v>
      </c>
      <c r="K420" t="s">
        <v>16</v>
      </c>
      <c r="L420" s="2">
        <v>-316.51</v>
      </c>
      <c r="Y420" s="6">
        <f>VLOOKUP(A416,A$1:$L$601,1,FALSE)</f>
        <v>1437</v>
      </c>
      <c r="Z420" s="6" t="str">
        <f>VLOOKUP(B416,B$1:$L$601,1,FALSE)</f>
        <v>Rachel Savage</v>
      </c>
      <c r="AA420" s="6" t="str">
        <f>VLOOKUP(C416,C$1:$L$601,1,FALSE)</f>
        <v>Jeans</v>
      </c>
      <c r="AB420" s="6" t="str">
        <f>VLOOKUP(D416,D$1:$L$601,1,FALSE)</f>
        <v>Boyfriend Jeans</v>
      </c>
      <c r="AC420" s="6">
        <f>VLOOKUP(E416,E$1:$L$601,1,FALSE)</f>
        <v>0</v>
      </c>
      <c r="AD420" s="6">
        <f>VLOOKUP(F416,F$1:$L$601,1,FALSE)</f>
        <v>3886.3</v>
      </c>
      <c r="AE420" s="6">
        <f>VLOOKUP(G416,G$1:$L$601,1,FALSE)</f>
        <v>0.34</v>
      </c>
      <c r="AF420" s="6">
        <f>VLOOKUP(H416,H$1:$L$601,1,FALSE)</f>
        <v>0</v>
      </c>
      <c r="AG420" s="6">
        <f>VLOOKUP(I416,I$1:$L$601,1,FALSE)</f>
        <v>45703</v>
      </c>
      <c r="AH420" s="6" t="str">
        <f>VLOOKUP(J416,J$1:$L$601,1,FALSE)</f>
        <v>DELHI</v>
      </c>
      <c r="AI420" s="6" t="str">
        <f>VLOOKUP(K416,K$1:$L$601,1,FALSE)</f>
        <v>B2C</v>
      </c>
      <c r="AJ420" s="6">
        <f>VLOOKUP(L416,L$1:$L$601,1,FALSE)</f>
        <v>131.47999999999999</v>
      </c>
    </row>
    <row r="421" spans="1:36" x14ac:dyDescent="0.25">
      <c r="A421">
        <v>1442</v>
      </c>
      <c r="B421" t="s">
        <v>471</v>
      </c>
      <c r="C421" t="s">
        <v>27</v>
      </c>
      <c r="D421" t="s">
        <v>65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  <c r="Y421" s="6">
        <f>VLOOKUP(A417,A$1:$L$601,1,FALSE)</f>
        <v>1438</v>
      </c>
      <c r="Z421" s="6" t="str">
        <f>VLOOKUP(B417,B$1:$L$601,1,FALSE)</f>
        <v>Teresa Nichols</v>
      </c>
      <c r="AA421" s="6" t="str">
        <f>VLOOKUP(C417,C$1:$L$601,1,FALSE)</f>
        <v>Dresses</v>
      </c>
      <c r="AB421" s="6" t="str">
        <f>VLOOKUP(D417,D$1:$L$601,1,FALSE)</f>
        <v>Wrap Dress</v>
      </c>
      <c r="AC421" s="6">
        <f>VLOOKUP(E417,E$1:$L$601,1,FALSE)</f>
        <v>2.1864406779661016</v>
      </c>
      <c r="AD421" s="6">
        <f>VLOOKUP(F417,F$1:$L$601,1,FALSE)</f>
        <v>2663.97</v>
      </c>
      <c r="AE421" s="6">
        <f>VLOOKUP(G417,G$1:$L$601,1,FALSE)</f>
        <v>0.84</v>
      </c>
      <c r="AF421" s="6">
        <f>VLOOKUP(H417,H$1:$L$601,1,FALSE)</f>
        <v>0</v>
      </c>
      <c r="AG421" s="6">
        <f>VLOOKUP(I417,I$1:$L$601,1,FALSE)</f>
        <v>45186</v>
      </c>
      <c r="AH421" s="6" t="str">
        <f>VLOOKUP(J417,J$1:$L$601,1,FALSE)</f>
        <v>PUNE</v>
      </c>
      <c r="AI421" s="6" t="str">
        <f>VLOOKUP(K417,K$1:$L$601,1,FALSE)</f>
        <v>B2C</v>
      </c>
      <c r="AJ421" s="6">
        <f>VLOOKUP(L417,L$1:$L$601,1,FALSE)</f>
        <v>1014.29</v>
      </c>
    </row>
    <row r="422" spans="1:36" x14ac:dyDescent="0.25">
      <c r="A422">
        <v>1443</v>
      </c>
      <c r="B422" t="s">
        <v>472</v>
      </c>
      <c r="C422" t="s">
        <v>36</v>
      </c>
      <c r="D422" t="s">
        <v>37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29</v>
      </c>
      <c r="K422" t="s">
        <v>16</v>
      </c>
      <c r="L422" s="2">
        <v>2962.6</v>
      </c>
      <c r="Y422" s="6">
        <f>VLOOKUP(A418,A$1:$L$601,1,FALSE)</f>
        <v>1439</v>
      </c>
      <c r="Z422" s="6" t="str">
        <f>VLOOKUP(B418,B$1:$L$601,1,FALSE)</f>
        <v>Elijah Anderson</v>
      </c>
      <c r="AA422" s="6" t="str">
        <f>VLOOKUP(C418,C$1:$L$601,1,FALSE)</f>
        <v>T-Shirts</v>
      </c>
      <c r="AB422" s="6" t="str">
        <f>VLOOKUP(D418,D$1:$L$601,1,FALSE)</f>
        <v>Graphic Tee</v>
      </c>
      <c r="AC422" s="6">
        <f>VLOOKUP(E418,E$1:$L$601,1,FALSE)</f>
        <v>1.5178571428571428</v>
      </c>
      <c r="AD422" s="6">
        <f>VLOOKUP(F418,F$1:$L$601,1,FALSE)</f>
        <v>2742.2927659574466</v>
      </c>
      <c r="AE422" s="6">
        <f>VLOOKUP(G418,G$1:$L$601,1,FALSE)</f>
        <v>0.65787878787878773</v>
      </c>
      <c r="AF422" s="6">
        <f>VLOOKUP(H418,H$1:$L$601,1,FALSE)</f>
        <v>0</v>
      </c>
      <c r="AG422" s="6">
        <f>VLOOKUP(I418,I$1:$L$601,1,FALSE)</f>
        <v>45626.838268792708</v>
      </c>
      <c r="AH422" s="6" t="str">
        <f>VLOOKUP(J418,J$1:$L$601,1,FALSE)</f>
        <v>AHMEDABAD</v>
      </c>
      <c r="AI422" s="6" t="str">
        <f>VLOOKUP(K418,K$1:$L$601,1,FALSE)</f>
        <v>B2B</v>
      </c>
      <c r="AJ422" s="6">
        <f>VLOOKUP(L418,L$1:$L$601,1,FALSE)</f>
        <v>726.42</v>
      </c>
    </row>
    <row r="423" spans="1:36" x14ac:dyDescent="0.25">
      <c r="A423">
        <v>1444</v>
      </c>
      <c r="B423" t="s">
        <v>473</v>
      </c>
      <c r="C423" t="s">
        <v>31</v>
      </c>
      <c r="D423" t="s">
        <v>119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23</v>
      </c>
      <c r="K423" t="s">
        <v>16</v>
      </c>
      <c r="L423" s="2">
        <v>810.8</v>
      </c>
      <c r="Y423" s="6">
        <f>VLOOKUP(A419,A$1:$L$601,1,FALSE)</f>
        <v>1440</v>
      </c>
      <c r="Z423" s="6" t="str">
        <f>VLOOKUP(B419,B$1:$L$601,1,FALSE)</f>
        <v>Candace Smith</v>
      </c>
      <c r="AA423" s="6" t="str">
        <f>VLOOKUP(C419,C$1:$L$601,1,FALSE)</f>
        <v>Dresses</v>
      </c>
      <c r="AB423" s="6" t="str">
        <f>VLOOKUP(D419,D$1:$L$601,1,FALSE)</f>
        <v>Bodycon</v>
      </c>
      <c r="AC423" s="6">
        <f>VLOOKUP(E419,E$1:$L$601,1,FALSE)</f>
        <v>0</v>
      </c>
      <c r="AD423" s="6">
        <f>VLOOKUP(F419,F$1:$L$601,1,FALSE)</f>
        <v>635.12</v>
      </c>
      <c r="AE423" s="6">
        <f>VLOOKUP(G419,G$1:$L$601,1,FALSE)</f>
        <v>0.32</v>
      </c>
      <c r="AF423" s="6">
        <f>VLOOKUP(H419,H$1:$L$601,1,FALSE)</f>
        <v>0</v>
      </c>
      <c r="AG423" s="6">
        <f>VLOOKUP(I419,I$1:$L$601,1,FALSE)</f>
        <v>45860</v>
      </c>
      <c r="AH423" s="6" t="str">
        <f>VLOOKUP(J419,J$1:$L$601,1,FALSE)</f>
        <v>HYDERBAD</v>
      </c>
      <c r="AI423" s="6" t="str">
        <f>VLOOKUP(K419,K$1:$L$601,1,FALSE)</f>
        <v>B2C</v>
      </c>
      <c r="AJ423" s="6">
        <f>VLOOKUP(L419,L$1:$L$601,1,FALSE)</f>
        <v>-476.72</v>
      </c>
    </row>
    <row r="424" spans="1:36" x14ac:dyDescent="0.25">
      <c r="A424">
        <v>1445</v>
      </c>
      <c r="B424" t="s">
        <v>474</v>
      </c>
      <c r="C424" t="s">
        <v>21</v>
      </c>
      <c r="D424" t="s">
        <v>79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23</v>
      </c>
      <c r="K424" t="s">
        <v>16</v>
      </c>
      <c r="L424" s="2">
        <v>2846.13</v>
      </c>
      <c r="Y424" s="6">
        <f>VLOOKUP(A420,A$1:$L$601,1,FALSE)</f>
        <v>1441</v>
      </c>
      <c r="Z424" s="6" t="str">
        <f>VLOOKUP(B420,B$1:$L$601,1,FALSE)</f>
        <v>Michelle Lara</v>
      </c>
      <c r="AA424" s="6" t="str">
        <f>VLOOKUP(C420,C$1:$L$601,1,FALSE)</f>
        <v>Jeans</v>
      </c>
      <c r="AB424" s="6" t="str">
        <f>VLOOKUP(D420,D$1:$L$601,1,FALSE)</f>
        <v>Slim Fit Jeans</v>
      </c>
      <c r="AC424" s="6">
        <f>VLOOKUP(E420,E$1:$L$601,1,FALSE)</f>
        <v>2.1052631578947367</v>
      </c>
      <c r="AD424" s="6">
        <f>VLOOKUP(F420,F$1:$L$601,1,FALSE)</f>
        <v>2676.4254237288142</v>
      </c>
      <c r="AE424" s="6">
        <f>VLOOKUP(G420,G$1:$L$601,1,FALSE)</f>
        <v>0.58977272727272723</v>
      </c>
      <c r="AF424" s="6">
        <f>VLOOKUP(H420,H$1:$L$601,1,FALSE)</f>
        <v>0</v>
      </c>
      <c r="AG424" s="6">
        <f>VLOOKUP(I420,I$1:$L$601,1,FALSE)</f>
        <v>45626.838268792708</v>
      </c>
      <c r="AH424" s="6" t="str">
        <f>VLOOKUP(J420,J$1:$L$601,1,FALSE)</f>
        <v>BANGALORE</v>
      </c>
      <c r="AI424" s="6" t="str">
        <f>VLOOKUP(K420,K$1:$L$601,1,FALSE)</f>
        <v>B2C</v>
      </c>
      <c r="AJ424" s="6">
        <f>VLOOKUP(L420,L$1:$L$601,1,FALSE)</f>
        <v>-316.51</v>
      </c>
    </row>
    <row r="425" spans="1:36" x14ac:dyDescent="0.25">
      <c r="A425">
        <v>1446</v>
      </c>
      <c r="B425" t="s">
        <v>475</v>
      </c>
      <c r="C425" t="s">
        <v>27</v>
      </c>
      <c r="D425" t="s">
        <v>28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  <c r="Y425" s="6">
        <f>VLOOKUP(A421,A$1:$L$601,1,FALSE)</f>
        <v>1442</v>
      </c>
      <c r="Z425" s="6" t="str">
        <f>VLOOKUP(B421,B$1:$L$601,1,FALSE)</f>
        <v>Emma Ramirez</v>
      </c>
      <c r="AA425" s="6" t="str">
        <f>VLOOKUP(C421,C$1:$L$601,1,FALSE)</f>
        <v>Shoes</v>
      </c>
      <c r="AB425" s="6" t="str">
        <f>VLOOKUP(D421,D$1:$L$601,1,FALSE)</f>
        <v>Slip-Ons</v>
      </c>
      <c r="AC425" s="6">
        <f>VLOOKUP(E421,E$1:$L$601,1,FALSE)</f>
        <v>0</v>
      </c>
      <c r="AD425" s="6">
        <f>VLOOKUP(F421,F$1:$L$601,1,FALSE)</f>
        <v>3001.28</v>
      </c>
      <c r="AE425" s="6">
        <f>VLOOKUP(G421,G$1:$L$601,1,FALSE)</f>
        <v>0.59740740740740739</v>
      </c>
      <c r="AF425" s="6">
        <f>VLOOKUP(H421,H$1:$L$601,1,FALSE)</f>
        <v>0</v>
      </c>
      <c r="AG425" s="6">
        <f>VLOOKUP(I421,I$1:$L$601,1,FALSE)</f>
        <v>45479</v>
      </c>
      <c r="AH425" s="6" t="str">
        <f>VLOOKUP(J421,J$1:$L$601,1,FALSE)</f>
        <v>DELHI</v>
      </c>
      <c r="AI425" s="6" t="str">
        <f>VLOOKUP(K421,K$1:$L$601,1,FALSE)</f>
        <v>B2C</v>
      </c>
      <c r="AJ425" s="6">
        <f>VLOOKUP(L421,L$1:$L$601,1,FALSE)</f>
        <v>1218.28</v>
      </c>
    </row>
    <row r="426" spans="1:36" x14ac:dyDescent="0.25">
      <c r="A426">
        <v>1448</v>
      </c>
      <c r="B426" t="s">
        <v>476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48</v>
      </c>
      <c r="K426" t="s">
        <v>24</v>
      </c>
      <c r="L426" s="2">
        <v>1948.49</v>
      </c>
      <c r="Y426" s="6">
        <f>VLOOKUP(A422,A$1:$L$601,1,FALSE)</f>
        <v>1443</v>
      </c>
      <c r="Z426" s="6" t="str">
        <f>VLOOKUP(B422,B$1:$L$601,1,FALSE)</f>
        <v>Danielle Shelton</v>
      </c>
      <c r="AA426" s="6" t="str">
        <f>VLOOKUP(C422,C$1:$L$601,1,FALSE)</f>
        <v>T-Shirts</v>
      </c>
      <c r="AB426" s="6" t="str">
        <f>VLOOKUP(D422,D$1:$L$601,1,FALSE)</f>
        <v>Crop Top</v>
      </c>
      <c r="AC426" s="6">
        <f>VLOOKUP(E422,E$1:$L$601,1,FALSE)</f>
        <v>1.5178571428571428</v>
      </c>
      <c r="AD426" s="6">
        <f>VLOOKUP(F422,F$1:$L$601,1,FALSE)</f>
        <v>2742.2927659574466</v>
      </c>
      <c r="AE426" s="6">
        <f>VLOOKUP(G422,G$1:$L$601,1,FALSE)</f>
        <v>0.65787878787878773</v>
      </c>
      <c r="AF426" s="6">
        <f>VLOOKUP(H422,H$1:$L$601,1,FALSE)</f>
        <v>0</v>
      </c>
      <c r="AG426" s="6">
        <f>VLOOKUP(I422,I$1:$L$601,1,FALSE)</f>
        <v>45484</v>
      </c>
      <c r="AH426" s="6" t="str">
        <f>VLOOKUP(J422,J$1:$L$601,1,FALSE)</f>
        <v>BANGALORE</v>
      </c>
      <c r="AI426" s="6" t="str">
        <f>VLOOKUP(K422,K$1:$L$601,1,FALSE)</f>
        <v>B2C</v>
      </c>
      <c r="AJ426" s="6">
        <f>VLOOKUP(L422,L$1:$L$601,1,FALSE)</f>
        <v>2962.6</v>
      </c>
    </row>
    <row r="427" spans="1:36" x14ac:dyDescent="0.25">
      <c r="A427">
        <v>1449</v>
      </c>
      <c r="B427" t="s">
        <v>477</v>
      </c>
      <c r="C427" t="s">
        <v>13</v>
      </c>
      <c r="D427" t="s">
        <v>51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19</v>
      </c>
      <c r="K427" t="s">
        <v>16</v>
      </c>
      <c r="L427" s="2">
        <v>2598.7399999999998</v>
      </c>
      <c r="Y427" s="6">
        <f>VLOOKUP(A423,A$1:$L$601,1,FALSE)</f>
        <v>1444</v>
      </c>
      <c r="Z427" s="6" t="str">
        <f>VLOOKUP(B423,B$1:$L$601,1,FALSE)</f>
        <v>Paula Leon</v>
      </c>
      <c r="AA427" s="6" t="str">
        <f>VLOOKUP(C423,C$1:$L$601,1,FALSE)</f>
        <v>Accessories</v>
      </c>
      <c r="AB427" s="6" t="str">
        <f>VLOOKUP(D423,D$1:$L$601,1,FALSE)</f>
        <v>Watches</v>
      </c>
      <c r="AC427" s="6">
        <f>VLOOKUP(E423,E$1:$L$601,1,FALSE)</f>
        <v>3</v>
      </c>
      <c r="AD427" s="6">
        <f>VLOOKUP(F423,F$1:$L$601,1,FALSE)</f>
        <v>3452.16</v>
      </c>
      <c r="AE427" s="6">
        <f>VLOOKUP(G423,G$1:$L$601,1,FALSE)</f>
        <v>0.70297297297297334</v>
      </c>
      <c r="AF427" s="6">
        <f>VLOOKUP(H423,H$1:$L$601,1,FALSE)</f>
        <v>0</v>
      </c>
      <c r="AG427" s="6">
        <f>VLOOKUP(I423,I$1:$L$601,1,FALSE)</f>
        <v>45626.838268792708</v>
      </c>
      <c r="AH427" s="6" t="str">
        <f>VLOOKUP(J423,J$1:$L$601,1,FALSE)</f>
        <v>MUMBAI</v>
      </c>
      <c r="AI427" s="6" t="str">
        <f>VLOOKUP(K423,K$1:$L$601,1,FALSE)</f>
        <v>B2C</v>
      </c>
      <c r="AJ427" s="6">
        <f>VLOOKUP(L423,L$1:$L$601,1,FALSE)</f>
        <v>810.8</v>
      </c>
    </row>
    <row r="428" spans="1:36" x14ac:dyDescent="0.25">
      <c r="A428">
        <v>1451</v>
      </c>
      <c r="B428" t="s">
        <v>478</v>
      </c>
      <c r="C428" t="s">
        <v>27</v>
      </c>
      <c r="D428" t="s">
        <v>65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33</v>
      </c>
      <c r="K428" t="s">
        <v>16</v>
      </c>
      <c r="L428" s="2">
        <v>1553.39</v>
      </c>
      <c r="Y428" s="6">
        <f>VLOOKUP(A424,A$1:$L$601,1,FALSE)</f>
        <v>1445</v>
      </c>
      <c r="Z428" s="6" t="str">
        <f>VLOOKUP(B424,B$1:$L$601,1,FALSE)</f>
        <v>Dr. Dennis Pena</v>
      </c>
      <c r="AA428" s="6" t="str">
        <f>VLOOKUP(C424,C$1:$L$601,1,FALSE)</f>
        <v>Jackets</v>
      </c>
      <c r="AB428" s="6" t="str">
        <f>VLOOKUP(D424,D$1:$L$601,1,FALSE)</f>
        <v>Bomber Jacket</v>
      </c>
      <c r="AC428" s="6">
        <f>VLOOKUP(E424,E$1:$L$601,1,FALSE)</f>
        <v>1.8076923076923077</v>
      </c>
      <c r="AD428" s="6">
        <f>VLOOKUP(F424,F$1:$L$601,1,FALSE)</f>
        <v>1370.36</v>
      </c>
      <c r="AE428" s="6">
        <f>VLOOKUP(G424,G$1:$L$601,1,FALSE)</f>
        <v>0.54</v>
      </c>
      <c r="AF428" s="6">
        <f>VLOOKUP(H424,H$1:$L$601,1,FALSE)</f>
        <v>0</v>
      </c>
      <c r="AG428" s="6">
        <f>VLOOKUP(I424,I$1:$L$601,1,FALSE)</f>
        <v>45827</v>
      </c>
      <c r="AH428" s="6" t="str">
        <f>VLOOKUP(J424,J$1:$L$601,1,FALSE)</f>
        <v>MUMBAI</v>
      </c>
      <c r="AI428" s="6" t="str">
        <f>VLOOKUP(K424,K$1:$L$601,1,FALSE)</f>
        <v>B2C</v>
      </c>
      <c r="AJ428" s="6">
        <f>VLOOKUP(L424,L$1:$L$601,1,FALSE)</f>
        <v>2846.13</v>
      </c>
    </row>
    <row r="429" spans="1:36" x14ac:dyDescent="0.25">
      <c r="A429">
        <v>1452</v>
      </c>
      <c r="B429" t="s">
        <v>479</v>
      </c>
      <c r="C429" t="s">
        <v>31</v>
      </c>
      <c r="D429" t="s">
        <v>44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  <c r="Y429" s="6">
        <f>VLOOKUP(A425,A$1:$L$601,1,FALSE)</f>
        <v>1446</v>
      </c>
      <c r="Z429" s="6" t="str">
        <f>VLOOKUP(B425,B$1:$L$601,1,FALSE)</f>
        <v>Kelsey Wright</v>
      </c>
      <c r="AA429" s="6" t="str">
        <f>VLOOKUP(C425,C$1:$L$601,1,FALSE)</f>
        <v>Shoes</v>
      </c>
      <c r="AB429" s="6" t="str">
        <f>VLOOKUP(D425,D$1:$L$601,1,FALSE)</f>
        <v>Loafers</v>
      </c>
      <c r="AC429" s="6">
        <f>VLOOKUP(E425,E$1:$L$601,1,FALSE)</f>
        <v>1.6216216216216217</v>
      </c>
      <c r="AD429" s="6">
        <f>VLOOKUP(F425,F$1:$L$601,1,FALSE)</f>
        <v>2827.68</v>
      </c>
      <c r="AE429" s="6">
        <f>VLOOKUP(G425,G$1:$L$601,1,FALSE)</f>
        <v>0.86</v>
      </c>
      <c r="AF429" s="6">
        <f>VLOOKUP(H425,H$1:$L$601,1,FALSE)</f>
        <v>0</v>
      </c>
      <c r="AG429" s="6">
        <f>VLOOKUP(I425,I$1:$L$601,1,FALSE)</f>
        <v>45519</v>
      </c>
      <c r="AH429" s="6" t="str">
        <f>VLOOKUP(J425,J$1:$L$601,1,FALSE)</f>
        <v>DELHI</v>
      </c>
      <c r="AI429" s="6" t="str">
        <f>VLOOKUP(K425,K$1:$L$601,1,FALSE)</f>
        <v>B2C</v>
      </c>
      <c r="AJ429" s="6">
        <f>VLOOKUP(L425,L$1:$L$601,1,FALSE)</f>
        <v>-602.57000000000005</v>
      </c>
    </row>
    <row r="430" spans="1:36" x14ac:dyDescent="0.25">
      <c r="A430">
        <v>1453</v>
      </c>
      <c r="B430" t="s">
        <v>480</v>
      </c>
      <c r="C430" t="s">
        <v>13</v>
      </c>
      <c r="D430" t="s">
        <v>51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29</v>
      </c>
      <c r="K430" t="s">
        <v>24</v>
      </c>
      <c r="L430" s="2">
        <v>1465.97</v>
      </c>
      <c r="Y430" s="6">
        <f>VLOOKUP(A426,A$1:$L$601,1,FALSE)</f>
        <v>1448</v>
      </c>
      <c r="Z430" s="6" t="str">
        <f>VLOOKUP(B426,B$1:$L$601,1,FALSE)</f>
        <v>Brandon Andrews</v>
      </c>
      <c r="AA430" s="6" t="str">
        <f>VLOOKUP(C426,C$1:$L$601,1,FALSE)</f>
        <v>Jeans</v>
      </c>
      <c r="AB430" s="6" t="str">
        <f>VLOOKUP(D426,D$1:$L$601,1,FALSE)</f>
        <v>Slim Fit Jeans</v>
      </c>
      <c r="AC430" s="6">
        <f>VLOOKUP(E426,E$1:$L$601,1,FALSE)</f>
        <v>2.1052631578947367</v>
      </c>
      <c r="AD430" s="6">
        <f>VLOOKUP(F426,F$1:$L$601,1,FALSE)</f>
        <v>1657.95</v>
      </c>
      <c r="AE430" s="6">
        <f>VLOOKUP(G426,G$1:$L$601,1,FALSE)</f>
        <v>0.58977272727272723</v>
      </c>
      <c r="AF430" s="6">
        <f>VLOOKUP(H426,H$1:$L$601,1,FALSE)</f>
        <v>0</v>
      </c>
      <c r="AG430" s="6">
        <f>VLOOKUP(I426,I$1:$L$601,1,FALSE)</f>
        <v>45269</v>
      </c>
      <c r="AH430" s="6" t="str">
        <f>VLOOKUP(J426,J$1:$L$601,1,FALSE)</f>
        <v>PUNE</v>
      </c>
      <c r="AI430" s="6" t="str">
        <f>VLOOKUP(K426,K$1:$L$601,1,FALSE)</f>
        <v>B2B</v>
      </c>
      <c r="AJ430" s="6">
        <f>VLOOKUP(L426,L$1:$L$601,1,FALSE)</f>
        <v>1948.49</v>
      </c>
    </row>
    <row r="431" spans="1:36" x14ac:dyDescent="0.25">
      <c r="A431">
        <v>1454</v>
      </c>
      <c r="B431" t="s">
        <v>481</v>
      </c>
      <c r="C431" t="s">
        <v>31</v>
      </c>
      <c r="D431" t="s">
        <v>44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48</v>
      </c>
      <c r="K431" t="s">
        <v>16</v>
      </c>
      <c r="L431" s="2">
        <v>2424.44</v>
      </c>
      <c r="Y431" s="6">
        <f>VLOOKUP(A427,A$1:$L$601,1,FALSE)</f>
        <v>1449</v>
      </c>
      <c r="Z431" s="6" t="str">
        <f>VLOOKUP(B427,B$1:$L$601,1,FALSE)</f>
        <v>Michelle Phillips</v>
      </c>
      <c r="AA431" s="6" t="str">
        <f>VLOOKUP(C427,C$1:$L$601,1,FALSE)</f>
        <v>Jeans</v>
      </c>
      <c r="AB431" s="6" t="str">
        <f>VLOOKUP(D427,D$1:$L$601,1,FALSE)</f>
        <v>Straight Cut</v>
      </c>
      <c r="AC431" s="6">
        <f>VLOOKUP(E427,E$1:$L$601,1,FALSE)</f>
        <v>2.1052631578947367</v>
      </c>
      <c r="AD431" s="6">
        <f>VLOOKUP(F427,F$1:$L$601,1,FALSE)</f>
        <v>2855.53</v>
      </c>
      <c r="AE431" s="6">
        <f>VLOOKUP(G427,G$1:$L$601,1,FALSE)</f>
        <v>0.55000000000000004</v>
      </c>
      <c r="AF431" s="6">
        <f>VLOOKUP(H427,H$1:$L$601,1,FALSE)</f>
        <v>0</v>
      </c>
      <c r="AG431" s="6">
        <f>VLOOKUP(I427,I$1:$L$601,1,FALSE)</f>
        <v>45707</v>
      </c>
      <c r="AH431" s="6" t="str">
        <f>VLOOKUP(J427,J$1:$L$601,1,FALSE)</f>
        <v>AHMEDABAD</v>
      </c>
      <c r="AI431" s="6" t="str">
        <f>VLOOKUP(K427,K$1:$L$601,1,FALSE)</f>
        <v>B2C</v>
      </c>
      <c r="AJ431" s="6">
        <f>VLOOKUP(L427,L$1:$L$601,1,FALSE)</f>
        <v>2598.7399999999998</v>
      </c>
    </row>
    <row r="432" spans="1:36" x14ac:dyDescent="0.25">
      <c r="A432">
        <v>1455</v>
      </c>
      <c r="B432" t="s">
        <v>482</v>
      </c>
      <c r="C432" t="s">
        <v>36</v>
      </c>
      <c r="D432" t="s">
        <v>71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  <c r="Y432" s="6">
        <f>VLOOKUP(A428,A$1:$L$601,1,FALSE)</f>
        <v>1451</v>
      </c>
      <c r="Z432" s="6" t="str">
        <f>VLOOKUP(B428,B$1:$L$601,1,FALSE)</f>
        <v>Rebecca Murphy</v>
      </c>
      <c r="AA432" s="6" t="str">
        <f>VLOOKUP(C428,C$1:$L$601,1,FALSE)</f>
        <v>Shoes</v>
      </c>
      <c r="AB432" s="6" t="str">
        <f>VLOOKUP(D428,D$1:$L$601,1,FALSE)</f>
        <v>Slip-Ons</v>
      </c>
      <c r="AC432" s="6">
        <f>VLOOKUP(E428,E$1:$L$601,1,FALSE)</f>
        <v>1.6216216216216217</v>
      </c>
      <c r="AD432" s="6">
        <f>VLOOKUP(F428,F$1:$L$601,1,FALSE)</f>
        <v>620.64</v>
      </c>
      <c r="AE432" s="6">
        <f>VLOOKUP(G428,G$1:$L$601,1,FALSE)</f>
        <v>0.59740740740740739</v>
      </c>
      <c r="AF432" s="6">
        <f>VLOOKUP(H428,H$1:$L$601,1,FALSE)</f>
        <v>0</v>
      </c>
      <c r="AG432" s="6">
        <f>VLOOKUP(I428,I$1:$L$601,1,FALSE)</f>
        <v>45801</v>
      </c>
      <c r="AH432" s="6" t="str">
        <f>VLOOKUP(J428,J$1:$L$601,1,FALSE)</f>
        <v>HYDERBAD</v>
      </c>
      <c r="AI432" s="6" t="str">
        <f>VLOOKUP(K428,K$1:$L$601,1,FALSE)</f>
        <v>B2C</v>
      </c>
      <c r="AJ432" s="6">
        <f>VLOOKUP(L428,L$1:$L$601,1,FALSE)</f>
        <v>1553.39</v>
      </c>
    </row>
    <row r="433" spans="1:36" x14ac:dyDescent="0.25">
      <c r="A433">
        <v>1456</v>
      </c>
      <c r="B433" t="s">
        <v>483</v>
      </c>
      <c r="C433" t="s">
        <v>36</v>
      </c>
      <c r="D433" t="s">
        <v>81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29</v>
      </c>
      <c r="K433" t="s">
        <v>16</v>
      </c>
      <c r="L433" s="2">
        <v>1350.12</v>
      </c>
      <c r="Y433" s="6">
        <f>VLOOKUP(A429,A$1:$L$601,1,FALSE)</f>
        <v>1452</v>
      </c>
      <c r="Z433" s="6" t="str">
        <f>VLOOKUP(B429,B$1:$L$601,1,FALSE)</f>
        <v>Ricardo Kent</v>
      </c>
      <c r="AA433" s="6" t="str">
        <f>VLOOKUP(C429,C$1:$L$601,1,FALSE)</f>
        <v>Accessories</v>
      </c>
      <c r="AB433" s="6" t="str">
        <f>VLOOKUP(D429,D$1:$L$601,1,FALSE)</f>
        <v>Sunglasses</v>
      </c>
      <c r="AC433" s="6">
        <f>VLOOKUP(E429,E$1:$L$601,1,FALSE)</f>
        <v>1.5178571428571428</v>
      </c>
      <c r="AD433" s="6">
        <f>VLOOKUP(F429,F$1:$L$601,1,FALSE)</f>
        <v>2660.28</v>
      </c>
      <c r="AE433" s="6">
        <f>VLOOKUP(G429,G$1:$L$601,1,FALSE)</f>
        <v>0.34</v>
      </c>
      <c r="AF433" s="6">
        <f>VLOOKUP(H429,H$1:$L$601,1,FALSE)</f>
        <v>-3511.57</v>
      </c>
      <c r="AG433" s="6">
        <f>VLOOKUP(I429,I$1:$L$601,1,FALSE)</f>
        <v>45626.838268792708</v>
      </c>
      <c r="AH433" s="6" t="str">
        <f>VLOOKUP(J429,J$1:$L$601,1,FALSE)</f>
        <v>DELHI</v>
      </c>
      <c r="AI433" s="6" t="str">
        <f>VLOOKUP(K429,K$1:$L$601,1,FALSE)</f>
        <v>B2C</v>
      </c>
      <c r="AJ433" s="6">
        <f>VLOOKUP(L429,L$1:$L$601,1,FALSE)</f>
        <v>918.54</v>
      </c>
    </row>
    <row r="434" spans="1:36" x14ac:dyDescent="0.25">
      <c r="A434">
        <v>1457</v>
      </c>
      <c r="B434" t="s">
        <v>484</v>
      </c>
      <c r="C434" t="s">
        <v>31</v>
      </c>
      <c r="D434" t="s">
        <v>119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29</v>
      </c>
      <c r="K434" t="s">
        <v>24</v>
      </c>
      <c r="L434" s="2">
        <v>750.64</v>
      </c>
      <c r="Y434" s="6">
        <f>VLOOKUP(A430,A$1:$L$601,1,FALSE)</f>
        <v>1453</v>
      </c>
      <c r="Z434" s="6" t="str">
        <f>VLOOKUP(B430,B$1:$L$601,1,FALSE)</f>
        <v>Justin Carpenter</v>
      </c>
      <c r="AA434" s="6" t="str">
        <f>VLOOKUP(C430,C$1:$L$601,1,FALSE)</f>
        <v>Jeans</v>
      </c>
      <c r="AB434" s="6" t="str">
        <f>VLOOKUP(D430,D$1:$L$601,1,FALSE)</f>
        <v>Straight Cut</v>
      </c>
      <c r="AC434" s="6">
        <f>VLOOKUP(E430,E$1:$L$601,1,FALSE)</f>
        <v>0</v>
      </c>
      <c r="AD434" s="6">
        <f>VLOOKUP(F430,F$1:$L$601,1,FALSE)</f>
        <v>2676.4254237288142</v>
      </c>
      <c r="AE434" s="6">
        <f>VLOOKUP(G430,G$1:$L$601,1,FALSE)</f>
        <v>0.18</v>
      </c>
      <c r="AF434" s="6">
        <f>VLOOKUP(H430,H$1:$L$601,1,FALSE)</f>
        <v>0</v>
      </c>
      <c r="AG434" s="6">
        <f>VLOOKUP(I430,I$1:$L$601,1,FALSE)</f>
        <v>45485</v>
      </c>
      <c r="AH434" s="6" t="str">
        <f>VLOOKUP(J430,J$1:$L$601,1,FALSE)</f>
        <v>BANGALORE</v>
      </c>
      <c r="AI434" s="6" t="str">
        <f>VLOOKUP(K430,K$1:$L$601,1,FALSE)</f>
        <v>B2B</v>
      </c>
      <c r="AJ434" s="6">
        <f>VLOOKUP(L430,L$1:$L$601,1,FALSE)</f>
        <v>1465.97</v>
      </c>
    </row>
    <row r="435" spans="1:36" x14ac:dyDescent="0.25">
      <c r="A435">
        <v>1458</v>
      </c>
      <c r="B435" t="s">
        <v>485</v>
      </c>
      <c r="C435" t="s">
        <v>21</v>
      </c>
      <c r="D435" t="s">
        <v>22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23</v>
      </c>
      <c r="K435" t="s">
        <v>16</v>
      </c>
      <c r="L435" s="2">
        <v>1877.22</v>
      </c>
      <c r="Y435" s="6">
        <f>VLOOKUP(A431,A$1:$L$601,1,FALSE)</f>
        <v>1454</v>
      </c>
      <c r="Z435" s="6" t="str">
        <f>VLOOKUP(B431,B$1:$L$601,1,FALSE)</f>
        <v>Justin Clements</v>
      </c>
      <c r="AA435" s="6" t="str">
        <f>VLOOKUP(C431,C$1:$L$601,1,FALSE)</f>
        <v>Accessories</v>
      </c>
      <c r="AB435" s="6" t="str">
        <f>VLOOKUP(D431,D$1:$L$601,1,FALSE)</f>
        <v>Sunglasses</v>
      </c>
      <c r="AC435" s="6">
        <f>VLOOKUP(E431,E$1:$L$601,1,FALSE)</f>
        <v>2.4893617021276597</v>
      </c>
      <c r="AD435" s="6">
        <f>VLOOKUP(F431,F$1:$L$601,1,FALSE)</f>
        <v>4523.58</v>
      </c>
      <c r="AE435" s="6">
        <f>VLOOKUP(G431,G$1:$L$601,1,FALSE)</f>
        <v>0.70297297297297334</v>
      </c>
      <c r="AF435" s="6">
        <f>VLOOKUP(H431,H$1:$L$601,1,FALSE)</f>
        <v>0</v>
      </c>
      <c r="AG435" s="6">
        <f>VLOOKUP(I431,I$1:$L$601,1,FALSE)</f>
        <v>45495</v>
      </c>
      <c r="AH435" s="6" t="str">
        <f>VLOOKUP(J431,J$1:$L$601,1,FALSE)</f>
        <v>PUNE</v>
      </c>
      <c r="AI435" s="6" t="str">
        <f>VLOOKUP(K431,K$1:$L$601,1,FALSE)</f>
        <v>B2C</v>
      </c>
      <c r="AJ435" s="6">
        <f>VLOOKUP(L431,L$1:$L$601,1,FALSE)</f>
        <v>2424.44</v>
      </c>
    </row>
    <row r="436" spans="1:36" x14ac:dyDescent="0.25">
      <c r="A436">
        <v>1459</v>
      </c>
      <c r="B436" t="s">
        <v>486</v>
      </c>
      <c r="C436" t="s">
        <v>31</v>
      </c>
      <c r="D436" t="s">
        <v>44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48</v>
      </c>
      <c r="K436" t="s">
        <v>16</v>
      </c>
      <c r="L436" s="2">
        <v>2959.95</v>
      </c>
      <c r="Y436" s="6">
        <f>VLOOKUP(A432,A$1:$L$601,1,FALSE)</f>
        <v>1455</v>
      </c>
      <c r="Z436" s="6" t="str">
        <f>VLOOKUP(B432,B$1:$L$601,1,FALSE)</f>
        <v>Patty Thomas</v>
      </c>
      <c r="AA436" s="6" t="str">
        <f>VLOOKUP(C432,C$1:$L$601,1,FALSE)</f>
        <v>T-Shirts</v>
      </c>
      <c r="AB436" s="6" t="str">
        <f>VLOOKUP(D432,D$1:$L$601,1,FALSE)</f>
        <v>Classic Tee</v>
      </c>
      <c r="AC436" s="6">
        <f>VLOOKUP(E432,E$1:$L$601,1,FALSE)</f>
        <v>1.5178571428571428</v>
      </c>
      <c r="AD436" s="6">
        <f>VLOOKUP(F432,F$1:$L$601,1,FALSE)</f>
        <v>2742.2927659574466</v>
      </c>
      <c r="AE436" s="6">
        <f>VLOOKUP(G432,G$1:$L$601,1,FALSE)</f>
        <v>0.65787878787878773</v>
      </c>
      <c r="AF436" s="6">
        <f>VLOOKUP(H432,H$1:$L$601,1,FALSE)</f>
        <v>0</v>
      </c>
      <c r="AG436" s="6">
        <f>VLOOKUP(I432,I$1:$L$601,1,FALSE)</f>
        <v>45629</v>
      </c>
      <c r="AH436" s="6" t="str">
        <f>VLOOKUP(J432,J$1:$L$601,1,FALSE)</f>
        <v>DELHI</v>
      </c>
      <c r="AI436" s="6" t="str">
        <f>VLOOKUP(K432,K$1:$L$601,1,FALSE)</f>
        <v>B2C</v>
      </c>
      <c r="AJ436" s="6">
        <f>VLOOKUP(L432,L$1:$L$601,1,FALSE)</f>
        <v>743.47</v>
      </c>
    </row>
    <row r="437" spans="1:36" x14ac:dyDescent="0.25">
      <c r="A437">
        <v>1460</v>
      </c>
      <c r="B437" t="s">
        <v>487</v>
      </c>
      <c r="C437" t="s">
        <v>21</v>
      </c>
      <c r="D437" t="s">
        <v>121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24</v>
      </c>
      <c r="L437" s="2">
        <v>921.96</v>
      </c>
      <c r="Y437" s="6">
        <f>VLOOKUP(A433,A$1:$L$601,1,FALSE)</f>
        <v>1456</v>
      </c>
      <c r="Z437" s="6" t="str">
        <f>VLOOKUP(B433,B$1:$L$601,1,FALSE)</f>
        <v>Madison Berry</v>
      </c>
      <c r="AA437" s="6" t="str">
        <f>VLOOKUP(C433,C$1:$L$601,1,FALSE)</f>
        <v>T-Shirts</v>
      </c>
      <c r="AB437" s="6" t="str">
        <f>VLOOKUP(D433,D$1:$L$601,1,FALSE)</f>
        <v>Graphic Tee</v>
      </c>
      <c r="AC437" s="6">
        <f>VLOOKUP(E433,E$1:$L$601,1,FALSE)</f>
        <v>2</v>
      </c>
      <c r="AD437" s="6">
        <f>VLOOKUP(F433,F$1:$L$601,1,FALSE)</f>
        <v>2742.2927659574466</v>
      </c>
      <c r="AE437" s="6">
        <f>VLOOKUP(G433,G$1:$L$601,1,FALSE)</f>
        <v>0.65787878787878773</v>
      </c>
      <c r="AF437" s="6">
        <f>VLOOKUP(H433,H$1:$L$601,1,FALSE)</f>
        <v>0</v>
      </c>
      <c r="AG437" s="6">
        <f>VLOOKUP(I433,I$1:$L$601,1,FALSE)</f>
        <v>45702</v>
      </c>
      <c r="AH437" s="6" t="str">
        <f>VLOOKUP(J433,J$1:$L$601,1,FALSE)</f>
        <v>BANGALORE</v>
      </c>
      <c r="AI437" s="6" t="str">
        <f>VLOOKUP(K433,K$1:$L$601,1,FALSE)</f>
        <v>B2C</v>
      </c>
      <c r="AJ437" s="6">
        <f>VLOOKUP(L433,L$1:$L$601,1,FALSE)</f>
        <v>1350.12</v>
      </c>
    </row>
    <row r="438" spans="1:36" x14ac:dyDescent="0.25">
      <c r="A438">
        <v>1461</v>
      </c>
      <c r="B438" t="s">
        <v>488</v>
      </c>
      <c r="C438" t="s">
        <v>41</v>
      </c>
      <c r="D438" t="s">
        <v>42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33</v>
      </c>
      <c r="K438" t="s">
        <v>16</v>
      </c>
      <c r="L438" s="2">
        <v>941.87</v>
      </c>
      <c r="Y438" s="6">
        <f>VLOOKUP(A434,A$1:$L$601,1,FALSE)</f>
        <v>1457</v>
      </c>
      <c r="Z438" s="6" t="str">
        <f>VLOOKUP(B434,B$1:$L$601,1,FALSE)</f>
        <v>Danielle Washington</v>
      </c>
      <c r="AA438" s="6" t="str">
        <f>VLOOKUP(C434,C$1:$L$601,1,FALSE)</f>
        <v>Accessories</v>
      </c>
      <c r="AB438" s="6" t="str">
        <f>VLOOKUP(D434,D$1:$L$601,1,FALSE)</f>
        <v>Watches</v>
      </c>
      <c r="AC438" s="6">
        <f>VLOOKUP(E434,E$1:$L$601,1,FALSE)</f>
        <v>0</v>
      </c>
      <c r="AD438" s="6">
        <f>VLOOKUP(F434,F$1:$L$601,1,FALSE)</f>
        <v>2342.25</v>
      </c>
      <c r="AE438" s="6">
        <f>VLOOKUP(G434,G$1:$L$601,1,FALSE)</f>
        <v>0.70297297297297334</v>
      </c>
      <c r="AF438" s="6">
        <f>VLOOKUP(H434,H$1:$L$601,1,FALSE)</f>
        <v>0</v>
      </c>
      <c r="AG438" s="6">
        <f>VLOOKUP(I434,I$1:$L$601,1,FALSE)</f>
        <v>45626.838268792708</v>
      </c>
      <c r="AH438" s="6" t="str">
        <f>VLOOKUP(J434,J$1:$L$601,1,FALSE)</f>
        <v>BANGALORE</v>
      </c>
      <c r="AI438" s="6" t="str">
        <f>VLOOKUP(K434,K$1:$L$601,1,FALSE)</f>
        <v>B2B</v>
      </c>
      <c r="AJ438" s="6">
        <f>VLOOKUP(L434,L$1:$L$601,1,FALSE)</f>
        <v>750.64</v>
      </c>
    </row>
    <row r="439" spans="1:36" x14ac:dyDescent="0.25">
      <c r="A439">
        <v>1462</v>
      </c>
      <c r="B439" t="s">
        <v>489</v>
      </c>
      <c r="C439" t="s">
        <v>21</v>
      </c>
      <c r="D439" t="s">
        <v>22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  <c r="Y439" s="6">
        <f>VLOOKUP(A435,A$1:$L$601,1,FALSE)</f>
        <v>1458</v>
      </c>
      <c r="Z439" s="6" t="str">
        <f>VLOOKUP(B435,B$1:$L$601,1,FALSE)</f>
        <v>Rachel Marshall</v>
      </c>
      <c r="AA439" s="6" t="str">
        <f>VLOOKUP(C435,C$1:$L$601,1,FALSE)</f>
        <v>Jackets</v>
      </c>
      <c r="AB439" s="6" t="str">
        <f>VLOOKUP(D435,D$1:$L$601,1,FALSE)</f>
        <v>Puffer Coat</v>
      </c>
      <c r="AC439" s="6">
        <f>VLOOKUP(E435,E$1:$L$601,1,FALSE)</f>
        <v>6</v>
      </c>
      <c r="AD439" s="6">
        <f>VLOOKUP(F435,F$1:$L$601,1,FALSE)</f>
        <v>2811.5702272727276</v>
      </c>
      <c r="AE439" s="6">
        <f>VLOOKUP(G435,G$1:$L$601,1,FALSE)</f>
        <v>0.27</v>
      </c>
      <c r="AF439" s="6">
        <f>VLOOKUP(H435,H$1:$L$601,1,FALSE)</f>
        <v>0</v>
      </c>
      <c r="AG439" s="6">
        <f>VLOOKUP(I435,I$1:$L$601,1,FALSE)</f>
        <v>45626.838268792708</v>
      </c>
      <c r="AH439" s="6" t="str">
        <f>VLOOKUP(J435,J$1:$L$601,1,FALSE)</f>
        <v>MUMBAI</v>
      </c>
      <c r="AI439" s="6" t="str">
        <f>VLOOKUP(K435,K$1:$L$601,1,FALSE)</f>
        <v>B2C</v>
      </c>
      <c r="AJ439" s="6">
        <f>VLOOKUP(L435,L$1:$L$601,1,FALSE)</f>
        <v>1877.22</v>
      </c>
    </row>
    <row r="440" spans="1:36" x14ac:dyDescent="0.25">
      <c r="A440">
        <v>1463</v>
      </c>
      <c r="B440" t="s">
        <v>490</v>
      </c>
      <c r="C440" t="s">
        <v>41</v>
      </c>
      <c r="D440" t="s">
        <v>63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24</v>
      </c>
      <c r="L440" s="2">
        <v>-877.13</v>
      </c>
      <c r="Y440" s="6">
        <f>VLOOKUP(A436,A$1:$L$601,1,FALSE)</f>
        <v>1459</v>
      </c>
      <c r="Z440" s="6" t="str">
        <f>VLOOKUP(B436,B$1:$L$601,1,FALSE)</f>
        <v>Anna King</v>
      </c>
      <c r="AA440" s="6" t="str">
        <f>VLOOKUP(C436,C$1:$L$601,1,FALSE)</f>
        <v>Accessories</v>
      </c>
      <c r="AB440" s="6" t="str">
        <f>VLOOKUP(D436,D$1:$L$601,1,FALSE)</f>
        <v>Sunglasses</v>
      </c>
      <c r="AC440" s="6">
        <f>VLOOKUP(E436,E$1:$L$601,1,FALSE)</f>
        <v>2.4893617021276597</v>
      </c>
      <c r="AD440" s="6">
        <f>VLOOKUP(F436,F$1:$L$601,1,FALSE)</f>
        <v>2494.9899999999998</v>
      </c>
      <c r="AE440" s="6">
        <f>VLOOKUP(G436,G$1:$L$601,1,FALSE)</f>
        <v>0.98</v>
      </c>
      <c r="AF440" s="6">
        <f>VLOOKUP(H436,H$1:$L$601,1,FALSE)</f>
        <v>0</v>
      </c>
      <c r="AG440" s="6">
        <f>VLOOKUP(I436,I$1:$L$601,1,FALSE)</f>
        <v>45308</v>
      </c>
      <c r="AH440" s="6" t="str">
        <f>VLOOKUP(J436,J$1:$L$601,1,FALSE)</f>
        <v>PUNE</v>
      </c>
      <c r="AI440" s="6" t="str">
        <f>VLOOKUP(K436,K$1:$L$601,1,FALSE)</f>
        <v>B2C</v>
      </c>
      <c r="AJ440" s="6">
        <f>VLOOKUP(L436,L$1:$L$601,1,FALSE)</f>
        <v>2959.95</v>
      </c>
    </row>
    <row r="441" spans="1:36" x14ac:dyDescent="0.25">
      <c r="A441">
        <v>1464</v>
      </c>
      <c r="B441" t="s">
        <v>491</v>
      </c>
      <c r="C441" t="s">
        <v>41</v>
      </c>
      <c r="D441" t="s">
        <v>63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29</v>
      </c>
      <c r="K441" t="s">
        <v>16</v>
      </c>
      <c r="L441" s="2">
        <v>837.3</v>
      </c>
      <c r="Y441" s="6">
        <f>VLOOKUP(A437,A$1:$L$601,1,FALSE)</f>
        <v>1460</v>
      </c>
      <c r="Z441" s="6" t="str">
        <f>VLOOKUP(B437,B$1:$L$601,1,FALSE)</f>
        <v>Leah Chaney</v>
      </c>
      <c r="AA441" s="6" t="str">
        <f>VLOOKUP(C437,C$1:$L$601,1,FALSE)</f>
        <v>Jackets</v>
      </c>
      <c r="AB441" s="6" t="str">
        <f>VLOOKUP(D437,D$1:$L$601,1,FALSE)</f>
        <v>Leather Jacket</v>
      </c>
      <c r="AC441" s="6">
        <f>VLOOKUP(E437,E$1:$L$601,1,FALSE)</f>
        <v>1.8076923076923077</v>
      </c>
      <c r="AD441" s="6">
        <f>VLOOKUP(F437,F$1:$L$601,1,FALSE)</f>
        <v>4264.16</v>
      </c>
      <c r="AE441" s="6">
        <f>VLOOKUP(G437,G$1:$L$601,1,FALSE)</f>
        <v>0.69969696969696993</v>
      </c>
      <c r="AF441" s="6">
        <f>VLOOKUP(H437,H$1:$L$601,1,FALSE)</f>
        <v>0</v>
      </c>
      <c r="AG441" s="6">
        <f>VLOOKUP(I437,I$1:$L$601,1,FALSE)</f>
        <v>45636</v>
      </c>
      <c r="AH441" s="6" t="str">
        <f>VLOOKUP(J437,J$1:$L$601,1,FALSE)</f>
        <v>DELHI</v>
      </c>
      <c r="AI441" s="6" t="str">
        <f>VLOOKUP(K437,K$1:$L$601,1,FALSE)</f>
        <v>B2B</v>
      </c>
      <c r="AJ441" s="6">
        <f>VLOOKUP(L437,L$1:$L$601,1,FALSE)</f>
        <v>921.96</v>
      </c>
    </row>
    <row r="442" spans="1:36" x14ac:dyDescent="0.25">
      <c r="A442">
        <v>1465</v>
      </c>
      <c r="B442" t="s">
        <v>492</v>
      </c>
      <c r="C442" t="s">
        <v>31</v>
      </c>
      <c r="D442" t="s">
        <v>32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33</v>
      </c>
      <c r="K442" t="s">
        <v>16</v>
      </c>
      <c r="L442" s="2">
        <v>-85.73</v>
      </c>
      <c r="Y442" s="6">
        <f>VLOOKUP(A438,A$1:$L$601,1,FALSE)</f>
        <v>1461</v>
      </c>
      <c r="Z442" s="6" t="str">
        <f>VLOOKUP(B438,B$1:$L$601,1,FALSE)</f>
        <v>Rebecca Leach</v>
      </c>
      <c r="AA442" s="6" t="str">
        <f>VLOOKUP(C438,C$1:$L$601,1,FALSE)</f>
        <v>Dresses</v>
      </c>
      <c r="AB442" s="6" t="str">
        <f>VLOOKUP(D438,D$1:$L$601,1,FALSE)</f>
        <v>Casual Midi</v>
      </c>
      <c r="AC442" s="6">
        <f>VLOOKUP(E438,E$1:$L$601,1,FALSE)</f>
        <v>2.1864406779661016</v>
      </c>
      <c r="AD442" s="6">
        <f>VLOOKUP(F438,F$1:$L$601,1,FALSE)</f>
        <v>2708.35</v>
      </c>
      <c r="AE442" s="6">
        <f>VLOOKUP(G438,G$1:$L$601,1,FALSE)</f>
        <v>1.06E-2</v>
      </c>
      <c r="AF442" s="6">
        <f>VLOOKUP(H438,H$1:$L$601,1,FALSE)</f>
        <v>0</v>
      </c>
      <c r="AG442" s="6">
        <f>VLOOKUP(I438,I$1:$L$601,1,FALSE)</f>
        <v>45626.838268792708</v>
      </c>
      <c r="AH442" s="6" t="str">
        <f>VLOOKUP(J438,J$1:$L$601,1,FALSE)</f>
        <v>HYDERBAD</v>
      </c>
      <c r="AI442" s="6" t="str">
        <f>VLOOKUP(K438,K$1:$L$601,1,FALSE)</f>
        <v>B2C</v>
      </c>
      <c r="AJ442" s="6">
        <f>VLOOKUP(L438,L$1:$L$601,1,FALSE)</f>
        <v>941.87</v>
      </c>
    </row>
    <row r="443" spans="1:36" x14ac:dyDescent="0.25">
      <c r="A443">
        <v>1468</v>
      </c>
      <c r="B443" t="s">
        <v>493</v>
      </c>
      <c r="C443" t="s">
        <v>36</v>
      </c>
      <c r="D443" t="s">
        <v>81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19</v>
      </c>
      <c r="K443" t="s">
        <v>16</v>
      </c>
      <c r="L443" s="2">
        <v>733.66</v>
      </c>
      <c r="Y443" s="6">
        <f>VLOOKUP(A439,A$1:$L$601,1,FALSE)</f>
        <v>1462</v>
      </c>
      <c r="Z443" s="6" t="str">
        <f>VLOOKUP(B439,B$1:$L$601,1,FALSE)</f>
        <v>Miranda Higgins</v>
      </c>
      <c r="AA443" s="6" t="str">
        <f>VLOOKUP(C439,C$1:$L$601,1,FALSE)</f>
        <v>Jackets</v>
      </c>
      <c r="AB443" s="6" t="str">
        <f>VLOOKUP(D439,D$1:$L$601,1,FALSE)</f>
        <v>Puffer Coat</v>
      </c>
      <c r="AC443" s="6">
        <f>VLOOKUP(E439,E$1:$L$601,1,FALSE)</f>
        <v>1.5178571428571428</v>
      </c>
      <c r="AD443" s="6">
        <f>VLOOKUP(F439,F$1:$L$601,1,FALSE)</f>
        <v>2811.5702272727276</v>
      </c>
      <c r="AE443" s="6">
        <f>VLOOKUP(G439,G$1:$L$601,1,FALSE)</f>
        <v>0.69969696969696993</v>
      </c>
      <c r="AF443" s="6">
        <f>VLOOKUP(H439,H$1:$L$601,1,FALSE)</f>
        <v>0</v>
      </c>
      <c r="AG443" s="6">
        <f>VLOOKUP(I439,I$1:$L$601,1,FALSE)</f>
        <v>45725</v>
      </c>
      <c r="AH443" s="6" t="str">
        <f>VLOOKUP(J439,J$1:$L$601,1,FALSE)</f>
        <v>DELHI</v>
      </c>
      <c r="AI443" s="6" t="str">
        <f>VLOOKUP(K439,K$1:$L$601,1,FALSE)</f>
        <v>B2C</v>
      </c>
      <c r="AJ443" s="6">
        <f>VLOOKUP(L439,L$1:$L$601,1,FALSE)</f>
        <v>372.63</v>
      </c>
    </row>
    <row r="444" spans="1:36" x14ac:dyDescent="0.25">
      <c r="A444">
        <v>1469</v>
      </c>
      <c r="B444" t="s">
        <v>494</v>
      </c>
      <c r="C444" t="s">
        <v>41</v>
      </c>
      <c r="D444" t="s">
        <v>63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29</v>
      </c>
      <c r="K444" t="s">
        <v>24</v>
      </c>
      <c r="L444" s="2">
        <v>1644.72</v>
      </c>
      <c r="Y444" s="6">
        <f>VLOOKUP(A440,A$1:$L$601,1,FALSE)</f>
        <v>1463</v>
      </c>
      <c r="Z444" s="6" t="str">
        <f>VLOOKUP(B440,B$1:$L$601,1,FALSE)</f>
        <v>Danielle Gonzales</v>
      </c>
      <c r="AA444" s="6" t="str">
        <f>VLOOKUP(C440,C$1:$L$601,1,FALSE)</f>
        <v>Dresses</v>
      </c>
      <c r="AB444" s="6" t="str">
        <f>VLOOKUP(D440,D$1:$L$601,1,FALSE)</f>
        <v>Wrap Dress</v>
      </c>
      <c r="AC444" s="6">
        <f>VLOOKUP(E440,E$1:$L$601,1,FALSE)</f>
        <v>1</v>
      </c>
      <c r="AD444" s="6">
        <f>VLOOKUP(F440,F$1:$L$601,1,FALSE)</f>
        <v>4606.09</v>
      </c>
      <c r="AE444" s="6">
        <f>VLOOKUP(G440,G$1:$L$601,1,FALSE)</f>
        <v>1.1200000000000002E-2</v>
      </c>
      <c r="AF444" s="6">
        <f>VLOOKUP(H440,H$1:$L$601,1,FALSE)</f>
        <v>-552.73</v>
      </c>
      <c r="AG444" s="6">
        <f>VLOOKUP(I440,I$1:$L$601,1,FALSE)</f>
        <v>45825</v>
      </c>
      <c r="AH444" s="6" t="str">
        <f>VLOOKUP(J440,J$1:$L$601,1,FALSE)</f>
        <v>DELHI</v>
      </c>
      <c r="AI444" s="6" t="str">
        <f>VLOOKUP(K440,K$1:$L$601,1,FALSE)</f>
        <v>B2B</v>
      </c>
      <c r="AJ444" s="6">
        <f>VLOOKUP(L440,L$1:$L$601,1,FALSE)</f>
        <v>-877.13</v>
      </c>
    </row>
    <row r="445" spans="1:36" x14ac:dyDescent="0.25">
      <c r="A445">
        <v>1470</v>
      </c>
      <c r="B445" t="s">
        <v>495</v>
      </c>
      <c r="C445" t="s">
        <v>36</v>
      </c>
      <c r="D445" t="s">
        <v>46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33</v>
      </c>
      <c r="K445" t="s">
        <v>16</v>
      </c>
      <c r="L445" s="2">
        <v>0.59</v>
      </c>
      <c r="Y445" s="6">
        <f>VLOOKUP(A441,A$1:$L$601,1,FALSE)</f>
        <v>1464</v>
      </c>
      <c r="Z445" s="6" t="str">
        <f>VLOOKUP(B441,B$1:$L$601,1,FALSE)</f>
        <v>Jill Johnson</v>
      </c>
      <c r="AA445" s="6" t="str">
        <f>VLOOKUP(C441,C$1:$L$601,1,FALSE)</f>
        <v>Dresses</v>
      </c>
      <c r="AB445" s="6" t="str">
        <f>VLOOKUP(D441,D$1:$L$601,1,FALSE)</f>
        <v>Wrap Dress</v>
      </c>
      <c r="AC445" s="6">
        <f>VLOOKUP(E441,E$1:$L$601,1,FALSE)</f>
        <v>2.1864406779661016</v>
      </c>
      <c r="AD445" s="6">
        <f>VLOOKUP(F441,F$1:$L$601,1,FALSE)</f>
        <v>2949.9901960784309</v>
      </c>
      <c r="AE445" s="6">
        <f>VLOOKUP(G441,G$1:$L$601,1,FALSE)</f>
        <v>0.55000000000000004</v>
      </c>
      <c r="AF445" s="6">
        <f>VLOOKUP(H441,H$1:$L$601,1,FALSE)</f>
        <v>0</v>
      </c>
      <c r="AG445" s="6">
        <f>VLOOKUP(I441,I$1:$L$601,1,FALSE)</f>
        <v>45813</v>
      </c>
      <c r="AH445" s="6" t="str">
        <f>VLOOKUP(J441,J$1:$L$601,1,FALSE)</f>
        <v>BANGALORE</v>
      </c>
      <c r="AI445" s="6" t="str">
        <f>VLOOKUP(K441,K$1:$L$601,1,FALSE)</f>
        <v>B2C</v>
      </c>
      <c r="AJ445" s="6">
        <f>VLOOKUP(L441,L$1:$L$601,1,FALSE)</f>
        <v>837.3</v>
      </c>
    </row>
    <row r="446" spans="1:36" x14ac:dyDescent="0.25">
      <c r="A446">
        <v>1471</v>
      </c>
      <c r="B446" t="s">
        <v>496</v>
      </c>
      <c r="C446" t="s">
        <v>31</v>
      </c>
      <c r="D446" t="s">
        <v>32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33</v>
      </c>
      <c r="K446" t="s">
        <v>16</v>
      </c>
      <c r="L446" s="2">
        <v>-605.66999999999996</v>
      </c>
      <c r="Y446" s="6">
        <f>VLOOKUP(A442,A$1:$L$601,1,FALSE)</f>
        <v>1465</v>
      </c>
      <c r="Z446" s="6" t="str">
        <f>VLOOKUP(B442,B$1:$L$601,1,FALSE)</f>
        <v>William Peck</v>
      </c>
      <c r="AA446" s="6" t="str">
        <f>VLOOKUP(C442,C$1:$L$601,1,FALSE)</f>
        <v>Accessories</v>
      </c>
      <c r="AB446" s="6" t="str">
        <f>VLOOKUP(D442,D$1:$L$601,1,FALSE)</f>
        <v>Belts</v>
      </c>
      <c r="AC446" s="6">
        <f>VLOOKUP(E442,E$1:$L$601,1,FALSE)</f>
        <v>1.5178571428571428</v>
      </c>
      <c r="AD446" s="6">
        <f>VLOOKUP(F442,F$1:$L$601,1,FALSE)</f>
        <v>2215.4</v>
      </c>
      <c r="AE446" s="6">
        <f>VLOOKUP(G442,G$1:$L$601,1,FALSE)</f>
        <v>0.96</v>
      </c>
      <c r="AF446" s="6">
        <f>VLOOKUP(H442,H$1:$L$601,1,FALSE)</f>
        <v>-177.23</v>
      </c>
      <c r="AG446" s="6">
        <f>VLOOKUP(I442,I$1:$L$601,1,FALSE)</f>
        <v>45708</v>
      </c>
      <c r="AH446" s="6" t="str">
        <f>VLOOKUP(J442,J$1:$L$601,1,FALSE)</f>
        <v>HYDERBAD</v>
      </c>
      <c r="AI446" s="6" t="str">
        <f>VLOOKUP(K442,K$1:$L$601,1,FALSE)</f>
        <v>B2C</v>
      </c>
      <c r="AJ446" s="6">
        <f>VLOOKUP(L442,L$1:$L$601,1,FALSE)</f>
        <v>-85.73</v>
      </c>
    </row>
    <row r="447" spans="1:36" x14ac:dyDescent="0.25">
      <c r="A447">
        <v>1472</v>
      </c>
      <c r="B447" t="s">
        <v>497</v>
      </c>
      <c r="C447" t="s">
        <v>31</v>
      </c>
      <c r="D447" t="s">
        <v>32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23</v>
      </c>
      <c r="K447" t="s">
        <v>16</v>
      </c>
      <c r="L447" s="2">
        <v>-69.28</v>
      </c>
      <c r="Y447" s="6">
        <f>VLOOKUP(A443,A$1:$L$601,1,FALSE)</f>
        <v>1468</v>
      </c>
      <c r="Z447" s="6" t="str">
        <f>VLOOKUP(B443,B$1:$L$601,1,FALSE)</f>
        <v>Jeremy Nash</v>
      </c>
      <c r="AA447" s="6" t="str">
        <f>VLOOKUP(C443,C$1:$L$601,1,FALSE)</f>
        <v>T-Shirts</v>
      </c>
      <c r="AB447" s="6" t="str">
        <f>VLOOKUP(D443,D$1:$L$601,1,FALSE)</f>
        <v>Graphic Tee</v>
      </c>
      <c r="AC447" s="6">
        <f>VLOOKUP(E443,E$1:$L$601,1,FALSE)</f>
        <v>1.5178571428571428</v>
      </c>
      <c r="AD447" s="6">
        <f>VLOOKUP(F443,F$1:$L$601,1,FALSE)</f>
        <v>3332.84</v>
      </c>
      <c r="AE447" s="6">
        <f>VLOOKUP(G443,G$1:$L$601,1,FALSE)</f>
        <v>0.27</v>
      </c>
      <c r="AF447" s="6">
        <f>VLOOKUP(H443,H$1:$L$601,1,FALSE)</f>
        <v>0</v>
      </c>
      <c r="AG447" s="6">
        <f>VLOOKUP(I443,I$1:$L$601,1,FALSE)</f>
        <v>45153</v>
      </c>
      <c r="AH447" s="6" t="str">
        <f>VLOOKUP(J443,J$1:$L$601,1,FALSE)</f>
        <v>AHMEDABAD</v>
      </c>
      <c r="AI447" s="6" t="str">
        <f>VLOOKUP(K443,K$1:$L$601,1,FALSE)</f>
        <v>B2C</v>
      </c>
      <c r="AJ447" s="6">
        <f>VLOOKUP(L443,L$1:$L$601,1,FALSE)</f>
        <v>733.66</v>
      </c>
    </row>
    <row r="448" spans="1:36" x14ac:dyDescent="0.25">
      <c r="A448">
        <v>1473</v>
      </c>
      <c r="B448" t="s">
        <v>498</v>
      </c>
      <c r="C448" t="s">
        <v>36</v>
      </c>
      <c r="D448" t="s">
        <v>81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29</v>
      </c>
      <c r="K448" t="s">
        <v>16</v>
      </c>
      <c r="L448" s="2">
        <v>1769.11</v>
      </c>
      <c r="Y448" s="6">
        <f>VLOOKUP(A444,A$1:$L$601,1,FALSE)</f>
        <v>1469</v>
      </c>
      <c r="Z448" s="6" t="str">
        <f>VLOOKUP(B444,B$1:$L$601,1,FALSE)</f>
        <v>Craig Conner Md</v>
      </c>
      <c r="AA448" s="6" t="str">
        <f>VLOOKUP(C444,C$1:$L$601,1,FALSE)</f>
        <v>Dresses</v>
      </c>
      <c r="AB448" s="6" t="str">
        <f>VLOOKUP(D444,D$1:$L$601,1,FALSE)</f>
        <v>Wrap Dress</v>
      </c>
      <c r="AC448" s="6">
        <f>VLOOKUP(E444,E$1:$L$601,1,FALSE)</f>
        <v>2.1864406779661016</v>
      </c>
      <c r="AD448" s="6">
        <f>VLOOKUP(F444,F$1:$L$601,1,FALSE)</f>
        <v>2665.7</v>
      </c>
      <c r="AE448" s="6">
        <f>VLOOKUP(G444,G$1:$L$601,1,FALSE)</f>
        <v>0.49</v>
      </c>
      <c r="AF448" s="6">
        <f>VLOOKUP(H444,H$1:$L$601,1,FALSE)</f>
        <v>0</v>
      </c>
      <c r="AG448" s="6">
        <f>VLOOKUP(I444,I$1:$L$601,1,FALSE)</f>
        <v>45682</v>
      </c>
      <c r="AH448" s="6" t="str">
        <f>VLOOKUP(J444,J$1:$L$601,1,FALSE)</f>
        <v>BANGALORE</v>
      </c>
      <c r="AI448" s="6" t="str">
        <f>VLOOKUP(K444,K$1:$L$601,1,FALSE)</f>
        <v>B2B</v>
      </c>
      <c r="AJ448" s="6">
        <f>VLOOKUP(L444,L$1:$L$601,1,FALSE)</f>
        <v>1644.72</v>
      </c>
    </row>
    <row r="449" spans="1:36" x14ac:dyDescent="0.25">
      <c r="A449">
        <v>1474</v>
      </c>
      <c r="B449" t="s">
        <v>499</v>
      </c>
      <c r="C449" t="s">
        <v>21</v>
      </c>
      <c r="D449" t="s">
        <v>87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29</v>
      </c>
      <c r="K449" t="s">
        <v>16</v>
      </c>
      <c r="L449" s="2">
        <v>1791.38</v>
      </c>
      <c r="Y449" s="6">
        <f>VLOOKUP(A445,A$1:$L$601,1,FALSE)</f>
        <v>1470</v>
      </c>
      <c r="Z449" s="6" t="str">
        <f>VLOOKUP(B445,B$1:$L$601,1,FALSE)</f>
        <v>Victoria Hayden</v>
      </c>
      <c r="AA449" s="6" t="str">
        <f>VLOOKUP(C445,C$1:$L$601,1,FALSE)</f>
        <v>T-Shirts</v>
      </c>
      <c r="AB449" s="6" t="str">
        <f>VLOOKUP(D445,D$1:$L$601,1,FALSE)</f>
        <v>Oversized T-Shirt</v>
      </c>
      <c r="AC449" s="6">
        <f>VLOOKUP(E445,E$1:$L$601,1,FALSE)</f>
        <v>1.5178571428571428</v>
      </c>
      <c r="AD449" s="6">
        <f>VLOOKUP(F445,F$1:$L$601,1,FALSE)</f>
        <v>1376.54</v>
      </c>
      <c r="AE449" s="6">
        <f>VLOOKUP(G445,G$1:$L$601,1,FALSE)</f>
        <v>0.65787878787878773</v>
      </c>
      <c r="AF449" s="6">
        <f>VLOOKUP(H445,H$1:$L$601,1,FALSE)</f>
        <v>0</v>
      </c>
      <c r="AG449" s="6">
        <f>VLOOKUP(I445,I$1:$L$601,1,FALSE)</f>
        <v>45626.838268792708</v>
      </c>
      <c r="AH449" s="6" t="str">
        <f>VLOOKUP(J445,J$1:$L$601,1,FALSE)</f>
        <v>HYDERBAD</v>
      </c>
      <c r="AI449" s="6" t="str">
        <f>VLOOKUP(K445,K$1:$L$601,1,FALSE)</f>
        <v>B2C</v>
      </c>
      <c r="AJ449" s="6">
        <f>VLOOKUP(L445,L$1:$L$601,1,FALSE)</f>
        <v>0.59</v>
      </c>
    </row>
    <row r="450" spans="1:36" x14ac:dyDescent="0.25">
      <c r="A450">
        <v>1475</v>
      </c>
      <c r="B450" t="s">
        <v>500</v>
      </c>
      <c r="C450" t="s">
        <v>36</v>
      </c>
      <c r="D450" t="s">
        <v>46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23</v>
      </c>
      <c r="K450" t="s">
        <v>16</v>
      </c>
      <c r="L450" s="2">
        <v>433.87</v>
      </c>
      <c r="Y450" s="6">
        <f>VLOOKUP(A446,A$1:$L$601,1,FALSE)</f>
        <v>1471</v>
      </c>
      <c r="Z450" s="6" t="str">
        <f>VLOOKUP(B446,B$1:$L$601,1,FALSE)</f>
        <v>Tammy Johnson</v>
      </c>
      <c r="AA450" s="6" t="str">
        <f>VLOOKUP(C446,C$1:$L$601,1,FALSE)</f>
        <v>Accessories</v>
      </c>
      <c r="AB450" s="6" t="str">
        <f>VLOOKUP(D446,D$1:$L$601,1,FALSE)</f>
        <v>Belts</v>
      </c>
      <c r="AC450" s="6">
        <f>VLOOKUP(E446,E$1:$L$601,1,FALSE)</f>
        <v>1.5178571428571428</v>
      </c>
      <c r="AD450" s="6">
        <f>VLOOKUP(F446,F$1:$L$601,1,FALSE)</f>
        <v>4882.03</v>
      </c>
      <c r="AE450" s="6">
        <f>VLOOKUP(G446,G$1:$L$601,1,FALSE)</f>
        <v>0.23</v>
      </c>
      <c r="AF450" s="6">
        <f>VLOOKUP(H446,H$1:$L$601,1,FALSE)</f>
        <v>-7518.33</v>
      </c>
      <c r="AG450" s="6">
        <f>VLOOKUP(I446,I$1:$L$601,1,FALSE)</f>
        <v>45159</v>
      </c>
      <c r="AH450" s="6" t="str">
        <f>VLOOKUP(J446,J$1:$L$601,1,FALSE)</f>
        <v>HYDERBAD</v>
      </c>
      <c r="AI450" s="6" t="str">
        <f>VLOOKUP(K446,K$1:$L$601,1,FALSE)</f>
        <v>B2C</v>
      </c>
      <c r="AJ450" s="6">
        <f>VLOOKUP(L446,L$1:$L$601,1,FALSE)</f>
        <v>-605.66999999999996</v>
      </c>
    </row>
    <row r="451" spans="1:36" x14ac:dyDescent="0.25">
      <c r="A451">
        <v>1476</v>
      </c>
      <c r="B451" t="s">
        <v>501</v>
      </c>
      <c r="C451" t="s">
        <v>13</v>
      </c>
      <c r="D451" t="s">
        <v>101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29</v>
      </c>
      <c r="K451" t="s">
        <v>16</v>
      </c>
      <c r="L451" s="2">
        <v>1476.41</v>
      </c>
      <c r="Y451" s="6">
        <f>VLOOKUP(A447,A$1:$L$601,1,FALSE)</f>
        <v>1472</v>
      </c>
      <c r="Z451" s="6" t="str">
        <f>VLOOKUP(B447,B$1:$L$601,1,FALSE)</f>
        <v>William Mullins</v>
      </c>
      <c r="AA451" s="6" t="str">
        <f>VLOOKUP(C447,C$1:$L$601,1,FALSE)</f>
        <v>Accessories</v>
      </c>
      <c r="AB451" s="6" t="str">
        <f>VLOOKUP(D447,D$1:$L$601,1,FALSE)</f>
        <v>Belts</v>
      </c>
      <c r="AC451" s="6">
        <f>VLOOKUP(E447,E$1:$L$601,1,FALSE)</f>
        <v>2.4893617021276597</v>
      </c>
      <c r="AD451" s="6">
        <f>VLOOKUP(F447,F$1:$L$601,1,FALSE)</f>
        <v>2706.1301960784322</v>
      </c>
      <c r="AE451" s="6">
        <f>VLOOKUP(G447,G$1:$L$601,1,FALSE)</f>
        <v>1.01E-2</v>
      </c>
      <c r="AF451" s="6">
        <f>VLOOKUP(H447,H$1:$L$601,1,FALSE)</f>
        <v>0</v>
      </c>
      <c r="AG451" s="6">
        <f>VLOOKUP(I447,I$1:$L$601,1,FALSE)</f>
        <v>45591</v>
      </c>
      <c r="AH451" s="6" t="str">
        <f>VLOOKUP(J447,J$1:$L$601,1,FALSE)</f>
        <v>MUMBAI</v>
      </c>
      <c r="AI451" s="6" t="str">
        <f>VLOOKUP(K447,K$1:$L$601,1,FALSE)</f>
        <v>B2C</v>
      </c>
      <c r="AJ451" s="6">
        <f>VLOOKUP(L447,L$1:$L$601,1,FALSE)</f>
        <v>-69.28</v>
      </c>
    </row>
    <row r="452" spans="1:36" x14ac:dyDescent="0.25">
      <c r="A452">
        <v>1477</v>
      </c>
      <c r="B452" t="s">
        <v>502</v>
      </c>
      <c r="C452" t="s">
        <v>41</v>
      </c>
      <c r="D452" t="s">
        <v>90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33</v>
      </c>
      <c r="K452" t="s">
        <v>16</v>
      </c>
      <c r="L452" s="2">
        <v>1295.82</v>
      </c>
      <c r="Y452" s="6">
        <f>VLOOKUP(A448,A$1:$L$601,1,FALSE)</f>
        <v>1473</v>
      </c>
      <c r="Z452" s="6" t="str">
        <f>VLOOKUP(B448,B$1:$L$601,1,FALSE)</f>
        <v>Alicia Reynolds</v>
      </c>
      <c r="AA452" s="6" t="str">
        <f>VLOOKUP(C448,C$1:$L$601,1,FALSE)</f>
        <v>T-Shirts</v>
      </c>
      <c r="AB452" s="6" t="str">
        <f>VLOOKUP(D448,D$1:$L$601,1,FALSE)</f>
        <v>Graphic Tee</v>
      </c>
      <c r="AC452" s="6">
        <f>VLOOKUP(E448,E$1:$L$601,1,FALSE)</f>
        <v>1.5178571428571428</v>
      </c>
      <c r="AD452" s="6">
        <f>VLOOKUP(F448,F$1:$L$601,1,FALSE)</f>
        <v>2742.2927659574466</v>
      </c>
      <c r="AE452" s="6">
        <f>VLOOKUP(G448,G$1:$L$601,1,FALSE)</f>
        <v>0.08</v>
      </c>
      <c r="AF452" s="6">
        <f>VLOOKUP(H448,H$1:$L$601,1,FALSE)</f>
        <v>0</v>
      </c>
      <c r="AG452" s="6">
        <f>VLOOKUP(I448,I$1:$L$601,1,FALSE)</f>
        <v>45626.838268792708</v>
      </c>
      <c r="AH452" s="6" t="str">
        <f>VLOOKUP(J448,J$1:$L$601,1,FALSE)</f>
        <v>BANGALORE</v>
      </c>
      <c r="AI452" s="6" t="str">
        <f>VLOOKUP(K448,K$1:$L$601,1,FALSE)</f>
        <v>B2C</v>
      </c>
      <c r="AJ452" s="6">
        <f>VLOOKUP(L448,L$1:$L$601,1,FALSE)</f>
        <v>1769.11</v>
      </c>
    </row>
    <row r="453" spans="1:36" x14ac:dyDescent="0.25">
      <c r="A453">
        <v>1478</v>
      </c>
      <c r="B453" t="s">
        <v>503</v>
      </c>
      <c r="C453" t="s">
        <v>21</v>
      </c>
      <c r="D453" t="s">
        <v>87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19</v>
      </c>
      <c r="K453" t="s">
        <v>16</v>
      </c>
      <c r="L453" s="2">
        <v>-584.69000000000005</v>
      </c>
      <c r="Y453" s="6">
        <f>VLOOKUP(A449,A$1:$L$601,1,FALSE)</f>
        <v>1474</v>
      </c>
      <c r="Z453" s="6" t="str">
        <f>VLOOKUP(B449,B$1:$L$601,1,FALSE)</f>
        <v>Rachel Shelton</v>
      </c>
      <c r="AA453" s="6" t="str">
        <f>VLOOKUP(C449,C$1:$L$601,1,FALSE)</f>
        <v>Jackets</v>
      </c>
      <c r="AB453" s="6" t="str">
        <f>VLOOKUP(D449,D$1:$L$601,1,FALSE)</f>
        <v>Denim Jacket</v>
      </c>
      <c r="AC453" s="6">
        <f>VLOOKUP(E449,E$1:$L$601,1,FALSE)</f>
        <v>4</v>
      </c>
      <c r="AD453" s="6">
        <f>VLOOKUP(F449,F$1:$L$601,1,FALSE)</f>
        <v>2811.5702272727276</v>
      </c>
      <c r="AE453" s="6">
        <f>VLOOKUP(G449,G$1:$L$601,1,FALSE)</f>
        <v>0.69969696969696993</v>
      </c>
      <c r="AF453" s="6">
        <f>VLOOKUP(H449,H$1:$L$601,1,FALSE)</f>
        <v>0</v>
      </c>
      <c r="AG453" s="6">
        <f>VLOOKUP(I449,I$1:$L$601,1,FALSE)</f>
        <v>45681</v>
      </c>
      <c r="AH453" s="6" t="str">
        <f>VLOOKUP(J449,J$1:$L$601,1,FALSE)</f>
        <v>BANGALORE</v>
      </c>
      <c r="AI453" s="6" t="str">
        <f>VLOOKUP(K449,K$1:$L$601,1,FALSE)</f>
        <v>B2C</v>
      </c>
      <c r="AJ453" s="6">
        <f>VLOOKUP(L449,L$1:$L$601,1,FALSE)</f>
        <v>1791.38</v>
      </c>
    </row>
    <row r="454" spans="1:36" x14ac:dyDescent="0.25">
      <c r="A454">
        <v>1479</v>
      </c>
      <c r="B454" t="s">
        <v>504</v>
      </c>
      <c r="C454" t="s">
        <v>41</v>
      </c>
      <c r="D454" t="s">
        <v>59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19</v>
      </c>
      <c r="K454" t="s">
        <v>16</v>
      </c>
      <c r="L454" s="2">
        <v>-575.87</v>
      </c>
      <c r="Y454" s="6">
        <f>VLOOKUP(A450,A$1:$L$601,1,FALSE)</f>
        <v>1475</v>
      </c>
      <c r="Z454" s="6" t="str">
        <f>VLOOKUP(B450,B$1:$L$601,1,FALSE)</f>
        <v>Nancy James</v>
      </c>
      <c r="AA454" s="6" t="str">
        <f>VLOOKUP(C450,C$1:$L$601,1,FALSE)</f>
        <v>T-Shirts</v>
      </c>
      <c r="AB454" s="6" t="str">
        <f>VLOOKUP(D450,D$1:$L$601,1,FALSE)</f>
        <v>Oversized T-Shirt</v>
      </c>
      <c r="AC454" s="6">
        <f>VLOOKUP(E450,E$1:$L$601,1,FALSE)</f>
        <v>1.5178571428571428</v>
      </c>
      <c r="AD454" s="6">
        <f>VLOOKUP(F450,F$1:$L$601,1,FALSE)</f>
        <v>3692.25</v>
      </c>
      <c r="AE454" s="6">
        <f>VLOOKUP(G450,G$1:$L$601,1,FALSE)</f>
        <v>0.65787878787878773</v>
      </c>
      <c r="AF454" s="6">
        <f>VLOOKUP(H450,H$1:$L$601,1,FALSE)</f>
        <v>0</v>
      </c>
      <c r="AG454" s="6">
        <f>VLOOKUP(I450,I$1:$L$601,1,FALSE)</f>
        <v>45607</v>
      </c>
      <c r="AH454" s="6" t="str">
        <f>VLOOKUP(J450,J$1:$L$601,1,FALSE)</f>
        <v>MUMBAI</v>
      </c>
      <c r="AI454" s="6" t="str">
        <f>VLOOKUP(K450,K$1:$L$601,1,FALSE)</f>
        <v>B2C</v>
      </c>
      <c r="AJ454" s="6">
        <f>VLOOKUP(L450,L$1:$L$601,1,FALSE)</f>
        <v>433.87</v>
      </c>
    </row>
    <row r="455" spans="1:36" x14ac:dyDescent="0.25">
      <c r="A455">
        <v>1480</v>
      </c>
      <c r="B455" t="s">
        <v>505</v>
      </c>
      <c r="C455" t="s">
        <v>21</v>
      </c>
      <c r="D455" t="s">
        <v>87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48</v>
      </c>
      <c r="K455" t="s">
        <v>16</v>
      </c>
      <c r="L455" s="2">
        <v>2956.26</v>
      </c>
      <c r="Y455" s="6">
        <f>VLOOKUP(A451,A$1:$L$601,1,FALSE)</f>
        <v>1476</v>
      </c>
      <c r="Z455" s="6" t="str">
        <f>VLOOKUP(B451,B$1:$L$601,1,FALSE)</f>
        <v>Seth Gonzalez</v>
      </c>
      <c r="AA455" s="6" t="str">
        <f>VLOOKUP(C451,C$1:$L$601,1,FALSE)</f>
        <v>Jeans</v>
      </c>
      <c r="AB455" s="6" t="str">
        <f>VLOOKUP(D451,D$1:$L$601,1,FALSE)</f>
        <v>Ripped Denim</v>
      </c>
      <c r="AC455" s="6">
        <f>VLOOKUP(E451,E$1:$L$601,1,FALSE)</f>
        <v>5</v>
      </c>
      <c r="AD455" s="6">
        <f>VLOOKUP(F451,F$1:$L$601,1,FALSE)</f>
        <v>2676.4254237288142</v>
      </c>
      <c r="AE455" s="6">
        <f>VLOOKUP(G451,G$1:$L$601,1,FALSE)</f>
        <v>0.56999999999999995</v>
      </c>
      <c r="AF455" s="6">
        <f>VLOOKUP(H451,H$1:$L$601,1,FALSE)</f>
        <v>0</v>
      </c>
      <c r="AG455" s="6">
        <f>VLOOKUP(I451,I$1:$L$601,1,FALSE)</f>
        <v>45859</v>
      </c>
      <c r="AH455" s="6" t="str">
        <f>VLOOKUP(J451,J$1:$L$601,1,FALSE)</f>
        <v>BANGALORE</v>
      </c>
      <c r="AI455" s="6" t="str">
        <f>VLOOKUP(K451,K$1:$L$601,1,FALSE)</f>
        <v>B2C</v>
      </c>
      <c r="AJ455" s="6">
        <f>VLOOKUP(L451,L$1:$L$601,1,FALSE)</f>
        <v>1476.41</v>
      </c>
    </row>
    <row r="456" spans="1:36" x14ac:dyDescent="0.25">
      <c r="A456">
        <v>1481</v>
      </c>
      <c r="B456" t="s">
        <v>506</v>
      </c>
      <c r="C456" t="s">
        <v>31</v>
      </c>
      <c r="D456" t="s">
        <v>119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  <c r="Y456" s="6">
        <f>VLOOKUP(A452,A$1:$L$601,1,FALSE)</f>
        <v>1477</v>
      </c>
      <c r="Z456" s="6" t="str">
        <f>VLOOKUP(B452,B$1:$L$601,1,FALSE)</f>
        <v>Rachel Allen</v>
      </c>
      <c r="AA456" s="6" t="str">
        <f>VLOOKUP(C452,C$1:$L$601,1,FALSE)</f>
        <v>Dresses</v>
      </c>
      <c r="AB456" s="6" t="str">
        <f>VLOOKUP(D452,D$1:$L$601,1,FALSE)</f>
        <v>Bodycon</v>
      </c>
      <c r="AC456" s="6">
        <f>VLOOKUP(E452,E$1:$L$601,1,FALSE)</f>
        <v>2.1864406779661016</v>
      </c>
      <c r="AD456" s="6">
        <f>VLOOKUP(F452,F$1:$L$601,1,FALSE)</f>
        <v>2277.1999999999998</v>
      </c>
      <c r="AE456" s="6">
        <f>VLOOKUP(G452,G$1:$L$601,1,FALSE)</f>
        <v>0.55000000000000004</v>
      </c>
      <c r="AF456" s="6">
        <f>VLOOKUP(H452,H$1:$L$601,1,FALSE)</f>
        <v>0</v>
      </c>
      <c r="AG456" s="6">
        <f>VLOOKUP(I452,I$1:$L$601,1,FALSE)</f>
        <v>45692</v>
      </c>
      <c r="AH456" s="6" t="str">
        <f>VLOOKUP(J452,J$1:$L$601,1,FALSE)</f>
        <v>HYDERBAD</v>
      </c>
      <c r="AI456" s="6" t="str">
        <f>VLOOKUP(K452,K$1:$L$601,1,FALSE)</f>
        <v>B2C</v>
      </c>
      <c r="AJ456" s="6">
        <f>VLOOKUP(L452,L$1:$L$601,1,FALSE)</f>
        <v>1295.82</v>
      </c>
    </row>
    <row r="457" spans="1:36" x14ac:dyDescent="0.25">
      <c r="A457">
        <v>1482</v>
      </c>
      <c r="B457" t="s">
        <v>507</v>
      </c>
      <c r="C457" t="s">
        <v>27</v>
      </c>
      <c r="D457" t="s">
        <v>65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19</v>
      </c>
      <c r="K457" t="s">
        <v>16</v>
      </c>
      <c r="L457" s="2">
        <v>480.43</v>
      </c>
      <c r="Y457" s="6">
        <f>VLOOKUP(A453,A$1:$L$601,1,FALSE)</f>
        <v>1478</v>
      </c>
      <c r="Z457" s="6" t="str">
        <f>VLOOKUP(B453,B$1:$L$601,1,FALSE)</f>
        <v>Jaclyn Lynch</v>
      </c>
      <c r="AA457" s="6" t="str">
        <f>VLOOKUP(C453,C$1:$L$601,1,FALSE)</f>
        <v>Jackets</v>
      </c>
      <c r="AB457" s="6" t="str">
        <f>VLOOKUP(D453,D$1:$L$601,1,FALSE)</f>
        <v>Denim Jacket</v>
      </c>
      <c r="AC457" s="6">
        <f>VLOOKUP(E453,E$1:$L$601,1,FALSE)</f>
        <v>1.8076923076923077</v>
      </c>
      <c r="AD457" s="6">
        <f>VLOOKUP(F453,F$1:$L$601,1,FALSE)</f>
        <v>2277.41</v>
      </c>
      <c r="AE457" s="6">
        <f>VLOOKUP(G453,G$1:$L$601,1,FALSE)</f>
        <v>0.69969696969696993</v>
      </c>
      <c r="AF457" s="6">
        <f>VLOOKUP(H453,H$1:$L$601,1,FALSE)</f>
        <v>0</v>
      </c>
      <c r="AG457" s="6">
        <f>VLOOKUP(I453,I$1:$L$601,1,FALSE)</f>
        <v>45491</v>
      </c>
      <c r="AH457" s="6" t="str">
        <f>VLOOKUP(J453,J$1:$L$601,1,FALSE)</f>
        <v>AHMEDABAD</v>
      </c>
      <c r="AI457" s="6" t="str">
        <f>VLOOKUP(K453,K$1:$L$601,1,FALSE)</f>
        <v>B2C</v>
      </c>
      <c r="AJ457" s="6">
        <f>VLOOKUP(L453,L$1:$L$601,1,FALSE)</f>
        <v>-584.69000000000005</v>
      </c>
    </row>
    <row r="458" spans="1:36" x14ac:dyDescent="0.25">
      <c r="A458">
        <v>1483</v>
      </c>
      <c r="B458" t="s">
        <v>508</v>
      </c>
      <c r="C458" t="s">
        <v>36</v>
      </c>
      <c r="D458" t="s">
        <v>46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29</v>
      </c>
      <c r="K458" t="s">
        <v>16</v>
      </c>
      <c r="L458" s="2">
        <v>2870.3</v>
      </c>
      <c r="Y458" s="6">
        <f>VLOOKUP(A454,A$1:$L$601,1,FALSE)</f>
        <v>1479</v>
      </c>
      <c r="Z458" s="6" t="str">
        <f>VLOOKUP(B454,B$1:$L$601,1,FALSE)</f>
        <v>Vicki Peterson Dds</v>
      </c>
      <c r="AA458" s="6" t="str">
        <f>VLOOKUP(C454,C$1:$L$601,1,FALSE)</f>
        <v>Dresses</v>
      </c>
      <c r="AB458" s="6" t="str">
        <f>VLOOKUP(D454,D$1:$L$601,1,FALSE)</f>
        <v>Maxi Dress</v>
      </c>
      <c r="AC458" s="6">
        <f>VLOOKUP(E454,E$1:$L$601,1,FALSE)</f>
        <v>1</v>
      </c>
      <c r="AD458" s="6">
        <f>VLOOKUP(F454,F$1:$L$601,1,FALSE)</f>
        <v>2949.9901960784309</v>
      </c>
      <c r="AE458" s="6">
        <f>VLOOKUP(G454,G$1:$L$601,1,FALSE)</f>
        <v>0.55000000000000004</v>
      </c>
      <c r="AF458" s="6">
        <f>VLOOKUP(H454,H$1:$L$601,1,FALSE)</f>
        <v>0</v>
      </c>
      <c r="AG458" s="6">
        <f>VLOOKUP(I454,I$1:$L$601,1,FALSE)</f>
        <v>45626.838268792708</v>
      </c>
      <c r="AH458" s="6" t="str">
        <f>VLOOKUP(J454,J$1:$L$601,1,FALSE)</f>
        <v>AHMEDABAD</v>
      </c>
      <c r="AI458" s="6" t="str">
        <f>VLOOKUP(K454,K$1:$L$601,1,FALSE)</f>
        <v>B2C</v>
      </c>
      <c r="AJ458" s="6">
        <f>VLOOKUP(L454,L$1:$L$601,1,FALSE)</f>
        <v>-575.87</v>
      </c>
    </row>
    <row r="459" spans="1:36" x14ac:dyDescent="0.25">
      <c r="A459">
        <v>1484</v>
      </c>
      <c r="B459" t="s">
        <v>509</v>
      </c>
      <c r="C459" t="s">
        <v>21</v>
      </c>
      <c r="D459" t="s">
        <v>79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23</v>
      </c>
      <c r="K459" t="s">
        <v>16</v>
      </c>
      <c r="L459" s="2">
        <v>2357.7399999999998</v>
      </c>
      <c r="Y459" s="6">
        <f>VLOOKUP(A455,A$1:$L$601,1,FALSE)</f>
        <v>1480</v>
      </c>
      <c r="Z459" s="6" t="str">
        <f>VLOOKUP(B455,B$1:$L$601,1,FALSE)</f>
        <v>Troy Love</v>
      </c>
      <c r="AA459" s="6" t="str">
        <f>VLOOKUP(C455,C$1:$L$601,1,FALSE)</f>
        <v>Jackets</v>
      </c>
      <c r="AB459" s="6" t="str">
        <f>VLOOKUP(D455,D$1:$L$601,1,FALSE)</f>
        <v>Denim Jacket</v>
      </c>
      <c r="AC459" s="6">
        <f>VLOOKUP(E455,E$1:$L$601,1,FALSE)</f>
        <v>1.8076923076923077</v>
      </c>
      <c r="AD459" s="6">
        <f>VLOOKUP(F455,F$1:$L$601,1,FALSE)</f>
        <v>755.42</v>
      </c>
      <c r="AE459" s="6">
        <f>VLOOKUP(G455,G$1:$L$601,1,FALSE)</f>
        <v>0.69969696969696993</v>
      </c>
      <c r="AF459" s="6">
        <f>VLOOKUP(H455,H$1:$L$601,1,FALSE)</f>
        <v>0</v>
      </c>
      <c r="AG459" s="6">
        <f>VLOOKUP(I455,I$1:$L$601,1,FALSE)</f>
        <v>45420</v>
      </c>
      <c r="AH459" s="6" t="str">
        <f>VLOOKUP(J455,J$1:$L$601,1,FALSE)</f>
        <v>PUNE</v>
      </c>
      <c r="AI459" s="6" t="str">
        <f>VLOOKUP(K455,K$1:$L$601,1,FALSE)</f>
        <v>B2C</v>
      </c>
      <c r="AJ459" s="6">
        <f>VLOOKUP(L455,L$1:$L$601,1,FALSE)</f>
        <v>2956.26</v>
      </c>
    </row>
    <row r="460" spans="1:36" x14ac:dyDescent="0.25">
      <c r="A460">
        <v>1485</v>
      </c>
      <c r="B460" t="s">
        <v>510</v>
      </c>
      <c r="C460" t="s">
        <v>27</v>
      </c>
      <c r="D460" t="s">
        <v>55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33</v>
      </c>
      <c r="K460" t="s">
        <v>24</v>
      </c>
      <c r="L460" s="2">
        <v>672.88</v>
      </c>
      <c r="Y460" s="6">
        <f>VLOOKUP(A456,A$1:$L$601,1,FALSE)</f>
        <v>1481</v>
      </c>
      <c r="Z460" s="6" t="str">
        <f>VLOOKUP(B456,B$1:$L$601,1,FALSE)</f>
        <v>David Baker</v>
      </c>
      <c r="AA460" s="6" t="str">
        <f>VLOOKUP(C456,C$1:$L$601,1,FALSE)</f>
        <v>Accessories</v>
      </c>
      <c r="AB460" s="6" t="str">
        <f>VLOOKUP(D456,D$1:$L$601,1,FALSE)</f>
        <v>Watches</v>
      </c>
      <c r="AC460" s="6">
        <f>VLOOKUP(E456,E$1:$L$601,1,FALSE)</f>
        <v>2.4893617021276597</v>
      </c>
      <c r="AD460" s="6">
        <f>VLOOKUP(F456,F$1:$L$601,1,FALSE)</f>
        <v>2706.1301960784322</v>
      </c>
      <c r="AE460" s="6">
        <f>VLOOKUP(G456,G$1:$L$601,1,FALSE)</f>
        <v>0.97</v>
      </c>
      <c r="AF460" s="6">
        <f>VLOOKUP(H456,H$1:$L$601,1,FALSE)</f>
        <v>0</v>
      </c>
      <c r="AG460" s="6">
        <f>VLOOKUP(I456,I$1:$L$601,1,FALSE)</f>
        <v>45626.838268792708</v>
      </c>
      <c r="AH460" s="6" t="str">
        <f>VLOOKUP(J456,J$1:$L$601,1,FALSE)</f>
        <v>DELHI</v>
      </c>
      <c r="AI460" s="6" t="str">
        <f>VLOOKUP(K456,K$1:$L$601,1,FALSE)</f>
        <v>B2C</v>
      </c>
      <c r="AJ460" s="6">
        <f>VLOOKUP(L456,L$1:$L$601,1,FALSE)</f>
        <v>375</v>
      </c>
    </row>
    <row r="461" spans="1:36" x14ac:dyDescent="0.25">
      <c r="A461">
        <v>1486</v>
      </c>
      <c r="B461" t="s">
        <v>511</v>
      </c>
      <c r="C461" t="s">
        <v>13</v>
      </c>
      <c r="D461" t="s">
        <v>101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23</v>
      </c>
      <c r="K461" t="s">
        <v>24</v>
      </c>
      <c r="L461" s="2">
        <v>2745.83</v>
      </c>
      <c r="Y461" s="6">
        <f>VLOOKUP(A457,A$1:$L$601,1,FALSE)</f>
        <v>1482</v>
      </c>
      <c r="Z461" s="6" t="str">
        <f>VLOOKUP(B457,B$1:$L$601,1,FALSE)</f>
        <v>Kristen Fuentes</v>
      </c>
      <c r="AA461" s="6" t="str">
        <f>VLOOKUP(C457,C$1:$L$601,1,FALSE)</f>
        <v>Shoes</v>
      </c>
      <c r="AB461" s="6" t="str">
        <f>VLOOKUP(D457,D$1:$L$601,1,FALSE)</f>
        <v>Slip-Ons</v>
      </c>
      <c r="AC461" s="6">
        <f>VLOOKUP(E457,E$1:$L$601,1,FALSE)</f>
        <v>1.6216216216216217</v>
      </c>
      <c r="AD461" s="6">
        <f>VLOOKUP(F457,F$1:$L$601,1,FALSE)</f>
        <v>1269.51</v>
      </c>
      <c r="AE461" s="6">
        <f>VLOOKUP(G457,G$1:$L$601,1,FALSE)</f>
        <v>0.59740740740740739</v>
      </c>
      <c r="AF461" s="6">
        <f>VLOOKUP(H457,H$1:$L$601,1,FALSE)</f>
        <v>0</v>
      </c>
      <c r="AG461" s="6">
        <f>VLOOKUP(I457,I$1:$L$601,1,FALSE)</f>
        <v>45742</v>
      </c>
      <c r="AH461" s="6" t="str">
        <f>VLOOKUP(J457,J$1:$L$601,1,FALSE)</f>
        <v>AHMEDABAD</v>
      </c>
      <c r="AI461" s="6" t="str">
        <f>VLOOKUP(K457,K$1:$L$601,1,FALSE)</f>
        <v>B2C</v>
      </c>
      <c r="AJ461" s="6">
        <f>VLOOKUP(L457,L$1:$L$601,1,FALSE)</f>
        <v>480.43</v>
      </c>
    </row>
    <row r="462" spans="1:36" x14ac:dyDescent="0.25">
      <c r="A462">
        <v>1487</v>
      </c>
      <c r="B462" t="s">
        <v>512</v>
      </c>
      <c r="C462" t="s">
        <v>31</v>
      </c>
      <c r="D462" t="s">
        <v>44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  <c r="Y462" s="6">
        <f>VLOOKUP(A458,A$1:$L$601,1,FALSE)</f>
        <v>1483</v>
      </c>
      <c r="Z462" s="6" t="str">
        <f>VLOOKUP(B458,B$1:$L$601,1,FALSE)</f>
        <v>Kenneth Barry</v>
      </c>
      <c r="AA462" s="6" t="str">
        <f>VLOOKUP(C458,C$1:$L$601,1,FALSE)</f>
        <v>T-Shirts</v>
      </c>
      <c r="AB462" s="6" t="str">
        <f>VLOOKUP(D458,D$1:$L$601,1,FALSE)</f>
        <v>Oversized T-Shirt</v>
      </c>
      <c r="AC462" s="6">
        <f>VLOOKUP(E458,E$1:$L$601,1,FALSE)</f>
        <v>1.5178571428571428</v>
      </c>
      <c r="AD462" s="6">
        <f>VLOOKUP(F458,F$1:$L$601,1,FALSE)</f>
        <v>2347.19</v>
      </c>
      <c r="AE462" s="6">
        <f>VLOOKUP(G458,G$1:$L$601,1,FALSE)</f>
        <v>0.65787878787878773</v>
      </c>
      <c r="AF462" s="6">
        <f>VLOOKUP(H458,H$1:$L$601,1,FALSE)</f>
        <v>0</v>
      </c>
      <c r="AG462" s="6">
        <f>VLOOKUP(I458,I$1:$L$601,1,FALSE)</f>
        <v>45577</v>
      </c>
      <c r="AH462" s="6" t="str">
        <f>VLOOKUP(J458,J$1:$L$601,1,FALSE)</f>
        <v>BANGALORE</v>
      </c>
      <c r="AI462" s="6" t="str">
        <f>VLOOKUP(K458,K$1:$L$601,1,FALSE)</f>
        <v>B2C</v>
      </c>
      <c r="AJ462" s="6">
        <f>VLOOKUP(L458,L$1:$L$601,1,FALSE)</f>
        <v>2870.3</v>
      </c>
    </row>
    <row r="463" spans="1:36" x14ac:dyDescent="0.25">
      <c r="A463">
        <v>1488</v>
      </c>
      <c r="B463" t="s">
        <v>513</v>
      </c>
      <c r="C463" t="s">
        <v>31</v>
      </c>
      <c r="D463" t="s">
        <v>140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29</v>
      </c>
      <c r="K463" t="s">
        <v>16</v>
      </c>
      <c r="L463" s="2">
        <v>2121.1999999999998</v>
      </c>
      <c r="Y463" s="6">
        <f>VLOOKUP(A459,A$1:$L$601,1,FALSE)</f>
        <v>1484</v>
      </c>
      <c r="Z463" s="6" t="str">
        <f>VLOOKUP(B459,B$1:$L$601,1,FALSE)</f>
        <v>Judith Johnson</v>
      </c>
      <c r="AA463" s="6" t="str">
        <f>VLOOKUP(C459,C$1:$L$601,1,FALSE)</f>
        <v>Jackets</v>
      </c>
      <c r="AB463" s="6" t="str">
        <f>VLOOKUP(D459,D$1:$L$601,1,FALSE)</f>
        <v>Bomber Jacket</v>
      </c>
      <c r="AC463" s="6">
        <f>VLOOKUP(E459,E$1:$L$601,1,FALSE)</f>
        <v>2</v>
      </c>
      <c r="AD463" s="6">
        <f>VLOOKUP(F459,F$1:$L$601,1,FALSE)</f>
        <v>818.68</v>
      </c>
      <c r="AE463" s="6">
        <f>VLOOKUP(G459,G$1:$L$601,1,FALSE)</f>
        <v>0.69969696969696993</v>
      </c>
      <c r="AF463" s="6">
        <f>VLOOKUP(H459,H$1:$L$601,1,FALSE)</f>
        <v>0</v>
      </c>
      <c r="AG463" s="6">
        <f>VLOOKUP(I459,I$1:$L$601,1,FALSE)</f>
        <v>45289</v>
      </c>
      <c r="AH463" s="6" t="str">
        <f>VLOOKUP(J459,J$1:$L$601,1,FALSE)</f>
        <v>MUMBAI</v>
      </c>
      <c r="AI463" s="6" t="str">
        <f>VLOOKUP(K459,K$1:$L$601,1,FALSE)</f>
        <v>B2C</v>
      </c>
      <c r="AJ463" s="6">
        <f>VLOOKUP(L459,L$1:$L$601,1,FALSE)</f>
        <v>2357.7399999999998</v>
      </c>
    </row>
    <row r="464" spans="1:36" x14ac:dyDescent="0.25">
      <c r="A464">
        <v>1489</v>
      </c>
      <c r="B464" t="s">
        <v>514</v>
      </c>
      <c r="C464" t="s">
        <v>27</v>
      </c>
      <c r="D464" t="s">
        <v>55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48</v>
      </c>
      <c r="K464" t="s">
        <v>24</v>
      </c>
      <c r="L464" s="2">
        <v>2102.1999999999998</v>
      </c>
      <c r="Y464" s="6">
        <f>VLOOKUP(A460,A$1:$L$601,1,FALSE)</f>
        <v>1485</v>
      </c>
      <c r="Z464" s="6" t="str">
        <f>VLOOKUP(B460,B$1:$L$601,1,FALSE)</f>
        <v>Oscar Williams</v>
      </c>
      <c r="AA464" s="6" t="str">
        <f>VLOOKUP(C460,C$1:$L$601,1,FALSE)</f>
        <v>Shoes</v>
      </c>
      <c r="AB464" s="6" t="str">
        <f>VLOOKUP(D460,D$1:$L$601,1,FALSE)</f>
        <v>Sneakers</v>
      </c>
      <c r="AC464" s="6">
        <f>VLOOKUP(E460,E$1:$L$601,1,FALSE)</f>
        <v>1.6216216216216217</v>
      </c>
      <c r="AD464" s="6">
        <f>VLOOKUP(F460,F$1:$L$601,1,FALSE)</f>
        <v>2557.4251351351354</v>
      </c>
      <c r="AE464" s="6">
        <f>VLOOKUP(G460,G$1:$L$601,1,FALSE)</f>
        <v>0.59740740740740739</v>
      </c>
      <c r="AF464" s="6">
        <f>VLOOKUP(H460,H$1:$L$601,1,FALSE)</f>
        <v>0</v>
      </c>
      <c r="AG464" s="6">
        <f>VLOOKUP(I460,I$1:$L$601,1,FALSE)</f>
        <v>45451</v>
      </c>
      <c r="AH464" s="6" t="str">
        <f>VLOOKUP(J460,J$1:$L$601,1,FALSE)</f>
        <v>HYDERBAD</v>
      </c>
      <c r="AI464" s="6" t="str">
        <f>VLOOKUP(K460,K$1:$L$601,1,FALSE)</f>
        <v>B2B</v>
      </c>
      <c r="AJ464" s="6">
        <f>VLOOKUP(L460,L$1:$L$601,1,FALSE)</f>
        <v>672.88</v>
      </c>
    </row>
    <row r="465" spans="1:36" x14ac:dyDescent="0.25">
      <c r="A465">
        <v>1490</v>
      </c>
      <c r="B465" t="s">
        <v>515</v>
      </c>
      <c r="C465" t="s">
        <v>36</v>
      </c>
      <c r="D465" t="s">
        <v>71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  <c r="Y465" s="6">
        <f>VLOOKUP(A461,A$1:$L$601,1,FALSE)</f>
        <v>1486</v>
      </c>
      <c r="Z465" s="6" t="str">
        <f>VLOOKUP(B461,B$1:$L$601,1,FALSE)</f>
        <v>Gloria Orr</v>
      </c>
      <c r="AA465" s="6" t="str">
        <f>VLOOKUP(C461,C$1:$L$601,1,FALSE)</f>
        <v>Jeans</v>
      </c>
      <c r="AB465" s="6" t="str">
        <f>VLOOKUP(D461,D$1:$L$601,1,FALSE)</f>
        <v>Ripped Denim</v>
      </c>
      <c r="AC465" s="6">
        <f>VLOOKUP(E461,E$1:$L$601,1,FALSE)</f>
        <v>6</v>
      </c>
      <c r="AD465" s="6">
        <f>VLOOKUP(F461,F$1:$L$601,1,FALSE)</f>
        <v>2676.4254237288142</v>
      </c>
      <c r="AE465" s="6">
        <f>VLOOKUP(G461,G$1:$L$601,1,FALSE)</f>
        <v>0.58977272727272723</v>
      </c>
      <c r="AF465" s="6">
        <f>VLOOKUP(H461,H$1:$L$601,1,FALSE)</f>
        <v>0</v>
      </c>
      <c r="AG465" s="6">
        <f>VLOOKUP(I461,I$1:$L$601,1,FALSE)</f>
        <v>45626.838268792708</v>
      </c>
      <c r="AH465" s="6" t="str">
        <f>VLOOKUP(J461,J$1:$L$601,1,FALSE)</f>
        <v>MUMBAI</v>
      </c>
      <c r="AI465" s="6" t="str">
        <f>VLOOKUP(K461,K$1:$L$601,1,FALSE)</f>
        <v>B2B</v>
      </c>
      <c r="AJ465" s="6">
        <f>VLOOKUP(L461,L$1:$L$601,1,FALSE)</f>
        <v>2745.83</v>
      </c>
    </row>
    <row r="466" spans="1:36" x14ac:dyDescent="0.25">
      <c r="A466">
        <v>1491</v>
      </c>
      <c r="B466" t="s">
        <v>516</v>
      </c>
      <c r="C466" t="s">
        <v>27</v>
      </c>
      <c r="D466" t="s">
        <v>55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29</v>
      </c>
      <c r="K466" t="s">
        <v>24</v>
      </c>
      <c r="L466" s="2">
        <v>2039.1</v>
      </c>
      <c r="Y466" s="6">
        <f>VLOOKUP(A462,A$1:$L$601,1,FALSE)</f>
        <v>1487</v>
      </c>
      <c r="Z466" s="6" t="str">
        <f>VLOOKUP(B462,B$1:$L$601,1,FALSE)</f>
        <v>Nancy Taylor</v>
      </c>
      <c r="AA466" s="6" t="str">
        <f>VLOOKUP(C462,C$1:$L$601,1,FALSE)</f>
        <v>Accessories</v>
      </c>
      <c r="AB466" s="6" t="str">
        <f>VLOOKUP(D462,D$1:$L$601,1,FALSE)</f>
        <v>Sunglasses</v>
      </c>
      <c r="AC466" s="6">
        <f>VLOOKUP(E462,E$1:$L$601,1,FALSE)</f>
        <v>6</v>
      </c>
      <c r="AD466" s="6">
        <f>VLOOKUP(F462,F$1:$L$601,1,FALSE)</f>
        <v>1234.08</v>
      </c>
      <c r="AE466" s="6">
        <f>VLOOKUP(G462,G$1:$L$601,1,FALSE)</f>
        <v>0.71</v>
      </c>
      <c r="AF466" s="6">
        <f>VLOOKUP(H462,H$1:$L$601,1,FALSE)</f>
        <v>2147.3000000000002</v>
      </c>
      <c r="AG466" s="6">
        <f>VLOOKUP(I462,I$1:$L$601,1,FALSE)</f>
        <v>45366</v>
      </c>
      <c r="AH466" s="6" t="str">
        <f>VLOOKUP(J462,J$1:$L$601,1,FALSE)</f>
        <v>DELHI</v>
      </c>
      <c r="AI466" s="6" t="str">
        <f>VLOOKUP(K462,K$1:$L$601,1,FALSE)</f>
        <v>B2C</v>
      </c>
      <c r="AJ466" s="6">
        <f>VLOOKUP(L462,L$1:$L$601,1,FALSE)</f>
        <v>-849.81</v>
      </c>
    </row>
    <row r="467" spans="1:36" x14ac:dyDescent="0.25">
      <c r="A467">
        <v>1492</v>
      </c>
      <c r="B467" t="s">
        <v>517</v>
      </c>
      <c r="C467" t="s">
        <v>36</v>
      </c>
      <c r="D467" t="s">
        <v>71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33</v>
      </c>
      <c r="K467" t="s">
        <v>24</v>
      </c>
      <c r="L467" s="2">
        <v>-308.83</v>
      </c>
      <c r="Y467" s="6">
        <f>VLOOKUP(A463,A$1:$L$601,1,FALSE)</f>
        <v>1488</v>
      </c>
      <c r="Z467" s="6" t="str">
        <f>VLOOKUP(B463,B$1:$L$601,1,FALSE)</f>
        <v>Jennifer Morales Dvm</v>
      </c>
      <c r="AA467" s="6" t="str">
        <f>VLOOKUP(C463,C$1:$L$601,1,FALSE)</f>
        <v>Accessories</v>
      </c>
      <c r="AB467" s="6" t="str">
        <f>VLOOKUP(D463,D$1:$L$601,1,FALSE)</f>
        <v>Caps</v>
      </c>
      <c r="AC467" s="6">
        <f>VLOOKUP(E463,E$1:$L$601,1,FALSE)</f>
        <v>2.4893617021276597</v>
      </c>
      <c r="AD467" s="6">
        <f>VLOOKUP(F463,F$1:$L$601,1,FALSE)</f>
        <v>4925.93</v>
      </c>
      <c r="AE467" s="6">
        <f>VLOOKUP(G463,G$1:$L$601,1,FALSE)</f>
        <v>0.70297297297297334</v>
      </c>
      <c r="AF467" s="6">
        <f>VLOOKUP(H463,H$1:$L$601,1,FALSE)</f>
        <v>0</v>
      </c>
      <c r="AG467" s="6">
        <f>VLOOKUP(I463,I$1:$L$601,1,FALSE)</f>
        <v>45774</v>
      </c>
      <c r="AH467" s="6" t="str">
        <f>VLOOKUP(J463,J$1:$L$601,1,FALSE)</f>
        <v>BANGALORE</v>
      </c>
      <c r="AI467" s="6" t="str">
        <f>VLOOKUP(K463,K$1:$L$601,1,FALSE)</f>
        <v>B2C</v>
      </c>
      <c r="AJ467" s="6">
        <f>VLOOKUP(L463,L$1:$L$601,1,FALSE)</f>
        <v>2121.1999999999998</v>
      </c>
    </row>
    <row r="468" spans="1:36" x14ac:dyDescent="0.25">
      <c r="A468">
        <v>1493</v>
      </c>
      <c r="B468" t="s">
        <v>518</v>
      </c>
      <c r="C468" t="s">
        <v>41</v>
      </c>
      <c r="D468" t="s">
        <v>63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33</v>
      </c>
      <c r="K468" t="s">
        <v>16</v>
      </c>
      <c r="L468" s="2">
        <v>478.28</v>
      </c>
      <c r="Y468" s="6">
        <f>VLOOKUP(A464,A$1:$L$601,1,FALSE)</f>
        <v>1489</v>
      </c>
      <c r="Z468" s="6" t="str">
        <f>VLOOKUP(B464,B$1:$L$601,1,FALSE)</f>
        <v>Kimberly Hammond</v>
      </c>
      <c r="AA468" s="6" t="str">
        <f>VLOOKUP(C464,C$1:$L$601,1,FALSE)</f>
        <v>Shoes</v>
      </c>
      <c r="AB468" s="6" t="str">
        <f>VLOOKUP(D464,D$1:$L$601,1,FALSE)</f>
        <v>Sneakers</v>
      </c>
      <c r="AC468" s="6">
        <f>VLOOKUP(E464,E$1:$L$601,1,FALSE)</f>
        <v>1.5178571428571428</v>
      </c>
      <c r="AD468" s="6">
        <f>VLOOKUP(F464,F$1:$L$601,1,FALSE)</f>
        <v>2557.4251351351354</v>
      </c>
      <c r="AE468" s="6">
        <f>VLOOKUP(G464,G$1:$L$601,1,FALSE)</f>
        <v>0.59740740740740739</v>
      </c>
      <c r="AF468" s="6">
        <f>VLOOKUP(H464,H$1:$L$601,1,FALSE)</f>
        <v>0</v>
      </c>
      <c r="AG468" s="6">
        <f>VLOOKUP(I464,I$1:$L$601,1,FALSE)</f>
        <v>45874</v>
      </c>
      <c r="AH468" s="6" t="str">
        <f>VLOOKUP(J464,J$1:$L$601,1,FALSE)</f>
        <v>PUNE</v>
      </c>
      <c r="AI468" s="6" t="str">
        <f>VLOOKUP(K464,K$1:$L$601,1,FALSE)</f>
        <v>B2B</v>
      </c>
      <c r="AJ468" s="6">
        <f>VLOOKUP(L464,L$1:$L$601,1,FALSE)</f>
        <v>2102.1999999999998</v>
      </c>
    </row>
    <row r="469" spans="1:36" x14ac:dyDescent="0.25">
      <c r="A469">
        <v>1494</v>
      </c>
      <c r="B469" t="s">
        <v>519</v>
      </c>
      <c r="C469" t="s">
        <v>13</v>
      </c>
      <c r="D469" t="s">
        <v>51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23</v>
      </c>
      <c r="K469" t="s">
        <v>16</v>
      </c>
      <c r="L469" s="2">
        <v>386.01</v>
      </c>
      <c r="Y469" s="6">
        <f>VLOOKUP(A465,A$1:$L$601,1,FALSE)</f>
        <v>1490</v>
      </c>
      <c r="Z469" s="6" t="str">
        <f>VLOOKUP(B465,B$1:$L$601,1,FALSE)</f>
        <v>Wendy Hernandez</v>
      </c>
      <c r="AA469" s="6" t="str">
        <f>VLOOKUP(C465,C$1:$L$601,1,FALSE)</f>
        <v>T-Shirts</v>
      </c>
      <c r="AB469" s="6" t="str">
        <f>VLOOKUP(D465,D$1:$L$601,1,FALSE)</f>
        <v>Classic Tee</v>
      </c>
      <c r="AC469" s="6">
        <f>VLOOKUP(E465,E$1:$L$601,1,FALSE)</f>
        <v>1</v>
      </c>
      <c r="AD469" s="6">
        <f>VLOOKUP(F465,F$1:$L$601,1,FALSE)</f>
        <v>2742.2927659574466</v>
      </c>
      <c r="AE469" s="6">
        <f>VLOOKUP(G465,G$1:$L$601,1,FALSE)</f>
        <v>0.65787878787878773</v>
      </c>
      <c r="AF469" s="6">
        <f>VLOOKUP(H465,H$1:$L$601,1,FALSE)</f>
        <v>0</v>
      </c>
      <c r="AG469" s="6">
        <f>VLOOKUP(I465,I$1:$L$601,1,FALSE)</f>
        <v>45547</v>
      </c>
      <c r="AH469" s="6" t="str">
        <f>VLOOKUP(J465,J$1:$L$601,1,FALSE)</f>
        <v>DELHI</v>
      </c>
      <c r="AI469" s="6" t="str">
        <f>VLOOKUP(K465,K$1:$L$601,1,FALSE)</f>
        <v>B2C</v>
      </c>
      <c r="AJ469" s="6">
        <f>VLOOKUP(L465,L$1:$L$601,1,FALSE)</f>
        <v>230.97</v>
      </c>
    </row>
    <row r="470" spans="1:36" x14ac:dyDescent="0.25">
      <c r="A470">
        <v>1495</v>
      </c>
      <c r="B470" t="s">
        <v>520</v>
      </c>
      <c r="C470" t="s">
        <v>31</v>
      </c>
      <c r="D470" t="s">
        <v>119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29</v>
      </c>
      <c r="K470" t="s">
        <v>16</v>
      </c>
      <c r="L470" s="2">
        <v>2044.15</v>
      </c>
      <c r="Y470" s="6">
        <f>VLOOKUP(A466,A$1:$L$601,1,FALSE)</f>
        <v>1491</v>
      </c>
      <c r="Z470" s="6" t="str">
        <f>VLOOKUP(B466,B$1:$L$601,1,FALSE)</f>
        <v>Allen Garner</v>
      </c>
      <c r="AA470" s="6" t="str">
        <f>VLOOKUP(C466,C$1:$L$601,1,FALSE)</f>
        <v>Shoes</v>
      </c>
      <c r="AB470" s="6" t="str">
        <f>VLOOKUP(D466,D$1:$L$601,1,FALSE)</f>
        <v>Sneakers</v>
      </c>
      <c r="AC470" s="6">
        <f>VLOOKUP(E466,E$1:$L$601,1,FALSE)</f>
        <v>1</v>
      </c>
      <c r="AD470" s="6">
        <f>VLOOKUP(F466,F$1:$L$601,1,FALSE)</f>
        <v>2557.4251351351354</v>
      </c>
      <c r="AE470" s="6">
        <f>VLOOKUP(G466,G$1:$L$601,1,FALSE)</f>
        <v>0.28999999999999998</v>
      </c>
      <c r="AF470" s="6">
        <f>VLOOKUP(H466,H$1:$L$601,1,FALSE)</f>
        <v>0</v>
      </c>
      <c r="AG470" s="6">
        <f>VLOOKUP(I466,I$1:$L$601,1,FALSE)</f>
        <v>45626.838268792708</v>
      </c>
      <c r="AH470" s="6" t="str">
        <f>VLOOKUP(J466,J$1:$L$601,1,FALSE)</f>
        <v>BANGALORE</v>
      </c>
      <c r="AI470" s="6" t="str">
        <f>VLOOKUP(K466,K$1:$L$601,1,FALSE)</f>
        <v>B2B</v>
      </c>
      <c r="AJ470" s="6">
        <f>VLOOKUP(L466,L$1:$L$601,1,FALSE)</f>
        <v>2039.1</v>
      </c>
    </row>
    <row r="471" spans="1:36" x14ac:dyDescent="0.25">
      <c r="A471">
        <v>1496</v>
      </c>
      <c r="B471" t="s">
        <v>521</v>
      </c>
      <c r="C471" t="s">
        <v>21</v>
      </c>
      <c r="D471" t="s">
        <v>87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19</v>
      </c>
      <c r="K471" t="s">
        <v>24</v>
      </c>
      <c r="L471" s="2">
        <v>2438.13</v>
      </c>
      <c r="Y471" s="6">
        <f>VLOOKUP(A467,A$1:$L$601,1,FALSE)</f>
        <v>1492</v>
      </c>
      <c r="Z471" s="6" t="str">
        <f>VLOOKUP(B467,B$1:$L$601,1,FALSE)</f>
        <v>Richard Stephenson</v>
      </c>
      <c r="AA471" s="6" t="str">
        <f>VLOOKUP(C467,C$1:$L$601,1,FALSE)</f>
        <v>T-Shirts</v>
      </c>
      <c r="AB471" s="6" t="str">
        <f>VLOOKUP(D467,D$1:$L$601,1,FALSE)</f>
        <v>Classic Tee</v>
      </c>
      <c r="AC471" s="6">
        <f>VLOOKUP(E467,E$1:$L$601,1,FALSE)</f>
        <v>1.5178571428571428</v>
      </c>
      <c r="AD471" s="6">
        <f>VLOOKUP(F467,F$1:$L$601,1,FALSE)</f>
        <v>2742.2927659574466</v>
      </c>
      <c r="AE471" s="6">
        <f>VLOOKUP(G467,G$1:$L$601,1,FALSE)</f>
        <v>1.0700000000000001E-2</v>
      </c>
      <c r="AF471" s="6">
        <f>VLOOKUP(H467,H$1:$L$601,1,FALSE)</f>
        <v>0</v>
      </c>
      <c r="AG471" s="6">
        <f>VLOOKUP(I467,I$1:$L$601,1,FALSE)</f>
        <v>45626.838268792708</v>
      </c>
      <c r="AH471" s="6" t="str">
        <f>VLOOKUP(J467,J$1:$L$601,1,FALSE)</f>
        <v>HYDERBAD</v>
      </c>
      <c r="AI471" s="6" t="str">
        <f>VLOOKUP(K467,K$1:$L$601,1,FALSE)</f>
        <v>B2B</v>
      </c>
      <c r="AJ471" s="6">
        <f>VLOOKUP(L467,L$1:$L$601,1,FALSE)</f>
        <v>-308.83</v>
      </c>
    </row>
    <row r="472" spans="1:36" x14ac:dyDescent="0.25">
      <c r="A472">
        <v>1497</v>
      </c>
      <c r="B472" t="s">
        <v>522</v>
      </c>
      <c r="C472" t="s">
        <v>31</v>
      </c>
      <c r="D472" t="s">
        <v>32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48</v>
      </c>
      <c r="K472" t="s">
        <v>16</v>
      </c>
      <c r="L472" s="2">
        <v>1561.06</v>
      </c>
      <c r="Y472" s="6">
        <f>VLOOKUP(A468,A$1:$L$601,1,FALSE)</f>
        <v>1493</v>
      </c>
      <c r="Z472" s="6" t="str">
        <f>VLOOKUP(B468,B$1:$L$601,1,FALSE)</f>
        <v>Mr. Gary Wilson</v>
      </c>
      <c r="AA472" s="6" t="str">
        <f>VLOOKUP(C468,C$1:$L$601,1,FALSE)</f>
        <v>Dresses</v>
      </c>
      <c r="AB472" s="6" t="str">
        <f>VLOOKUP(D468,D$1:$L$601,1,FALSE)</f>
        <v>Wrap Dress</v>
      </c>
      <c r="AC472" s="6">
        <f>VLOOKUP(E468,E$1:$L$601,1,FALSE)</f>
        <v>2.1864406779661016</v>
      </c>
      <c r="AD472" s="6">
        <f>VLOOKUP(F468,F$1:$L$601,1,FALSE)</f>
        <v>2949.9901960784309</v>
      </c>
      <c r="AE472" s="6">
        <f>VLOOKUP(G468,G$1:$L$601,1,FALSE)</f>
        <v>0.03</v>
      </c>
      <c r="AF472" s="6">
        <f>VLOOKUP(H468,H$1:$L$601,1,FALSE)</f>
        <v>0</v>
      </c>
      <c r="AG472" s="6">
        <f>VLOOKUP(I468,I$1:$L$601,1,FALSE)</f>
        <v>45626.838268792708</v>
      </c>
      <c r="AH472" s="6" t="str">
        <f>VLOOKUP(J468,J$1:$L$601,1,FALSE)</f>
        <v>HYDERBAD</v>
      </c>
      <c r="AI472" s="6" t="str">
        <f>VLOOKUP(K468,K$1:$L$601,1,FALSE)</f>
        <v>B2C</v>
      </c>
      <c r="AJ472" s="6">
        <f>VLOOKUP(L468,L$1:$L$601,1,FALSE)</f>
        <v>478.28</v>
      </c>
    </row>
    <row r="473" spans="1:36" x14ac:dyDescent="0.25">
      <c r="A473">
        <v>1498</v>
      </c>
      <c r="B473" t="s">
        <v>523</v>
      </c>
      <c r="C473" t="s">
        <v>13</v>
      </c>
      <c r="D473" t="s">
        <v>51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23</v>
      </c>
      <c r="K473" t="s">
        <v>16</v>
      </c>
      <c r="L473" s="2">
        <v>2442.42</v>
      </c>
      <c r="Y473" s="6">
        <f>VLOOKUP(A469,A$1:$L$601,1,FALSE)</f>
        <v>1494</v>
      </c>
      <c r="Z473" s="6" t="str">
        <f>VLOOKUP(B469,B$1:$L$601,1,FALSE)</f>
        <v>Elizabeth Nelson</v>
      </c>
      <c r="AA473" s="6" t="str">
        <f>VLOOKUP(C469,C$1:$L$601,1,FALSE)</f>
        <v>Jeans</v>
      </c>
      <c r="AB473" s="6" t="str">
        <f>VLOOKUP(D469,D$1:$L$601,1,FALSE)</f>
        <v>Straight Cut</v>
      </c>
      <c r="AC473" s="6">
        <f>VLOOKUP(E469,E$1:$L$601,1,FALSE)</f>
        <v>2.1052631578947367</v>
      </c>
      <c r="AD473" s="6">
        <f>VLOOKUP(F469,F$1:$L$601,1,FALSE)</f>
        <v>4338.0600000000004</v>
      </c>
      <c r="AE473" s="6">
        <f>VLOOKUP(G469,G$1:$L$601,1,FALSE)</f>
        <v>0.24</v>
      </c>
      <c r="AF473" s="6">
        <f>VLOOKUP(H469,H$1:$L$601,1,FALSE)</f>
        <v>0</v>
      </c>
      <c r="AG473" s="6">
        <f>VLOOKUP(I469,I$1:$L$601,1,FALSE)</f>
        <v>45734</v>
      </c>
      <c r="AH473" s="6" t="str">
        <f>VLOOKUP(J469,J$1:$L$601,1,FALSE)</f>
        <v>MUMBAI</v>
      </c>
      <c r="AI473" s="6" t="str">
        <f>VLOOKUP(K469,K$1:$L$601,1,FALSE)</f>
        <v>B2C</v>
      </c>
      <c r="AJ473" s="6">
        <f>VLOOKUP(L469,L$1:$L$601,1,FALSE)</f>
        <v>386.01</v>
      </c>
    </row>
    <row r="474" spans="1:36" x14ac:dyDescent="0.25">
      <c r="A474">
        <v>1499</v>
      </c>
      <c r="B474" t="s">
        <v>524</v>
      </c>
      <c r="C474" t="s">
        <v>36</v>
      </c>
      <c r="D474" t="s">
        <v>37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29</v>
      </c>
      <c r="K474" t="s">
        <v>16</v>
      </c>
      <c r="L474" s="2">
        <v>2116.52</v>
      </c>
      <c r="Y474" s="6">
        <f>VLOOKUP(A470,A$1:$L$601,1,FALSE)</f>
        <v>1495</v>
      </c>
      <c r="Z474" s="6" t="str">
        <f>VLOOKUP(B470,B$1:$L$601,1,FALSE)</f>
        <v>James Mcguire</v>
      </c>
      <c r="AA474" s="6" t="str">
        <f>VLOOKUP(C470,C$1:$L$601,1,FALSE)</f>
        <v>Accessories</v>
      </c>
      <c r="AB474" s="6" t="str">
        <f>VLOOKUP(D470,D$1:$L$601,1,FALSE)</f>
        <v>Watches</v>
      </c>
      <c r="AC474" s="6">
        <f>VLOOKUP(E470,E$1:$L$601,1,FALSE)</f>
        <v>2.4893617021276597</v>
      </c>
      <c r="AD474" s="6">
        <f>VLOOKUP(F470,F$1:$L$601,1,FALSE)</f>
        <v>2261.4899999999998</v>
      </c>
      <c r="AE474" s="6">
        <f>VLOOKUP(G470,G$1:$L$601,1,FALSE)</f>
        <v>0.70297297297297334</v>
      </c>
      <c r="AF474" s="6">
        <f>VLOOKUP(H470,H$1:$L$601,1,FALSE)</f>
        <v>0</v>
      </c>
      <c r="AG474" s="6">
        <f>VLOOKUP(I470,I$1:$L$601,1,FALSE)</f>
        <v>45601</v>
      </c>
      <c r="AH474" s="6" t="str">
        <f>VLOOKUP(J470,J$1:$L$601,1,FALSE)</f>
        <v>BANGALORE</v>
      </c>
      <c r="AI474" s="6" t="str">
        <f>VLOOKUP(K470,K$1:$L$601,1,FALSE)</f>
        <v>B2C</v>
      </c>
      <c r="AJ474" s="6">
        <f>VLOOKUP(L470,L$1:$L$601,1,FALSE)</f>
        <v>2044.15</v>
      </c>
    </row>
    <row r="475" spans="1:36" x14ac:dyDescent="0.25">
      <c r="A475">
        <v>1500</v>
      </c>
      <c r="B475" t="s">
        <v>525</v>
      </c>
      <c r="C475" t="s">
        <v>13</v>
      </c>
      <c r="D475" t="s">
        <v>51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19</v>
      </c>
      <c r="K475" t="s">
        <v>24</v>
      </c>
      <c r="L475" s="2">
        <v>-648.94000000000005</v>
      </c>
      <c r="Y475" s="6">
        <f>VLOOKUP(A471,A$1:$L$601,1,FALSE)</f>
        <v>1496</v>
      </c>
      <c r="Z475" s="6" t="str">
        <f>VLOOKUP(B471,B$1:$L$601,1,FALSE)</f>
        <v>Laura Myers</v>
      </c>
      <c r="AA475" s="6" t="str">
        <f>VLOOKUP(C471,C$1:$L$601,1,FALSE)</f>
        <v>Jackets</v>
      </c>
      <c r="AB475" s="6" t="str">
        <f>VLOOKUP(D471,D$1:$L$601,1,FALSE)</f>
        <v>Denim Jacket</v>
      </c>
      <c r="AC475" s="6">
        <f>VLOOKUP(E471,E$1:$L$601,1,FALSE)</f>
        <v>1.5178571428571428</v>
      </c>
      <c r="AD475" s="6">
        <f>VLOOKUP(F471,F$1:$L$601,1,FALSE)</f>
        <v>4874.76</v>
      </c>
      <c r="AE475" s="6">
        <f>VLOOKUP(G471,G$1:$L$601,1,FALSE)</f>
        <v>0.69969696969696993</v>
      </c>
      <c r="AF475" s="6">
        <f>VLOOKUP(H471,H$1:$L$601,1,FALSE)</f>
        <v>0</v>
      </c>
      <c r="AG475" s="6">
        <f>VLOOKUP(I471,I$1:$L$601,1,FALSE)</f>
        <v>45655</v>
      </c>
      <c r="AH475" s="6" t="str">
        <f>VLOOKUP(J471,J$1:$L$601,1,FALSE)</f>
        <v>AHMEDABAD</v>
      </c>
      <c r="AI475" s="6" t="str">
        <f>VLOOKUP(K471,K$1:$L$601,1,FALSE)</f>
        <v>B2B</v>
      </c>
      <c r="AJ475" s="6">
        <f>VLOOKUP(L471,L$1:$L$601,1,FALSE)</f>
        <v>2438.13</v>
      </c>
    </row>
    <row r="476" spans="1:36" x14ac:dyDescent="0.25">
      <c r="A476">
        <v>1501</v>
      </c>
      <c r="B476" t="s">
        <v>526</v>
      </c>
      <c r="C476" t="s">
        <v>36</v>
      </c>
      <c r="D476" t="s">
        <v>37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29</v>
      </c>
      <c r="K476" t="s">
        <v>16</v>
      </c>
      <c r="L476" s="2">
        <v>-957.83</v>
      </c>
      <c r="Y476" s="6">
        <f>VLOOKUP(A472,A$1:$L$601,1,FALSE)</f>
        <v>1497</v>
      </c>
      <c r="Z476" s="6" t="str">
        <f>VLOOKUP(B472,B$1:$L$601,1,FALSE)</f>
        <v>Joseph Anderson</v>
      </c>
      <c r="AA476" s="6" t="str">
        <f>VLOOKUP(C472,C$1:$L$601,1,FALSE)</f>
        <v>Accessories</v>
      </c>
      <c r="AB476" s="6" t="str">
        <f>VLOOKUP(D472,D$1:$L$601,1,FALSE)</f>
        <v>Belts</v>
      </c>
      <c r="AC476" s="6">
        <f>VLOOKUP(E472,E$1:$L$601,1,FALSE)</f>
        <v>2.4893617021276597</v>
      </c>
      <c r="AD476" s="6">
        <f>VLOOKUP(F472,F$1:$L$601,1,FALSE)</f>
        <v>1461.5</v>
      </c>
      <c r="AE476" s="6">
        <f>VLOOKUP(G472,G$1:$L$601,1,FALSE)</f>
        <v>0.70297297297297334</v>
      </c>
      <c r="AF476" s="6">
        <f>VLOOKUP(H472,H$1:$L$601,1,FALSE)</f>
        <v>0</v>
      </c>
      <c r="AG476" s="6">
        <f>VLOOKUP(I472,I$1:$L$601,1,FALSE)</f>
        <v>45526</v>
      </c>
      <c r="AH476" s="6" t="str">
        <f>VLOOKUP(J472,J$1:$L$601,1,FALSE)</f>
        <v>PUNE</v>
      </c>
      <c r="AI476" s="6" t="str">
        <f>VLOOKUP(K472,K$1:$L$601,1,FALSE)</f>
        <v>B2C</v>
      </c>
      <c r="AJ476" s="6">
        <f>VLOOKUP(L472,L$1:$L$601,1,FALSE)</f>
        <v>1561.06</v>
      </c>
    </row>
    <row r="477" spans="1:36" x14ac:dyDescent="0.25">
      <c r="A477">
        <v>1502</v>
      </c>
      <c r="B477" t="s">
        <v>527</v>
      </c>
      <c r="C477" t="s">
        <v>41</v>
      </c>
      <c r="D477" t="s">
        <v>90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  <c r="Y477" s="6">
        <f>VLOOKUP(A473,A$1:$L$601,1,FALSE)</f>
        <v>1498</v>
      </c>
      <c r="Z477" s="6" t="str">
        <f>VLOOKUP(B473,B$1:$L$601,1,FALSE)</f>
        <v>Tiffany Calhoun</v>
      </c>
      <c r="AA477" s="6" t="str">
        <f>VLOOKUP(C473,C$1:$L$601,1,FALSE)</f>
        <v>Jeans</v>
      </c>
      <c r="AB477" s="6" t="str">
        <f>VLOOKUP(D473,D$1:$L$601,1,FALSE)</f>
        <v>Straight Cut</v>
      </c>
      <c r="AC477" s="6">
        <f>VLOOKUP(E473,E$1:$L$601,1,FALSE)</f>
        <v>6</v>
      </c>
      <c r="AD477" s="6">
        <f>VLOOKUP(F473,F$1:$L$601,1,FALSE)</f>
        <v>3771.67</v>
      </c>
      <c r="AE477" s="6">
        <f>VLOOKUP(G473,G$1:$L$601,1,FALSE)</f>
        <v>0.58977272727272723</v>
      </c>
      <c r="AF477" s="6">
        <f>VLOOKUP(H473,H$1:$L$601,1,FALSE)</f>
        <v>0</v>
      </c>
      <c r="AG477" s="6">
        <f>VLOOKUP(I473,I$1:$L$601,1,FALSE)</f>
        <v>45566</v>
      </c>
      <c r="AH477" s="6" t="str">
        <f>VLOOKUP(J473,J$1:$L$601,1,FALSE)</f>
        <v>MUMBAI</v>
      </c>
      <c r="AI477" s="6" t="str">
        <f>VLOOKUP(K473,K$1:$L$601,1,FALSE)</f>
        <v>B2C</v>
      </c>
      <c r="AJ477" s="6">
        <f>VLOOKUP(L473,L$1:$L$601,1,FALSE)</f>
        <v>2442.42</v>
      </c>
    </row>
    <row r="478" spans="1:36" x14ac:dyDescent="0.25">
      <c r="A478">
        <v>1503</v>
      </c>
      <c r="B478" t="s">
        <v>528</v>
      </c>
      <c r="C478" t="s">
        <v>36</v>
      </c>
      <c r="D478" t="s">
        <v>46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  <c r="Y478" s="6">
        <f>VLOOKUP(A474,A$1:$L$601,1,FALSE)</f>
        <v>1499</v>
      </c>
      <c r="Z478" s="6" t="str">
        <f>VLOOKUP(B474,B$1:$L$601,1,FALSE)</f>
        <v>Lauren Ellis</v>
      </c>
      <c r="AA478" s="6" t="str">
        <f>VLOOKUP(C474,C$1:$L$601,1,FALSE)</f>
        <v>T-Shirts</v>
      </c>
      <c r="AB478" s="6" t="str">
        <f>VLOOKUP(D474,D$1:$L$601,1,FALSE)</f>
        <v>Crop Top</v>
      </c>
      <c r="AC478" s="6">
        <f>VLOOKUP(E474,E$1:$L$601,1,FALSE)</f>
        <v>2</v>
      </c>
      <c r="AD478" s="6">
        <f>VLOOKUP(F474,F$1:$L$601,1,FALSE)</f>
        <v>2742.2927659574466</v>
      </c>
      <c r="AE478" s="6">
        <f>VLOOKUP(G474,G$1:$L$601,1,FALSE)</f>
        <v>0.65787878787878773</v>
      </c>
      <c r="AF478" s="6">
        <f>VLOOKUP(H474,H$1:$L$601,1,FALSE)</f>
        <v>0</v>
      </c>
      <c r="AG478" s="6">
        <f>VLOOKUP(I474,I$1:$L$601,1,FALSE)</f>
        <v>45626.838268792708</v>
      </c>
      <c r="AH478" s="6" t="str">
        <f>VLOOKUP(J474,J$1:$L$601,1,FALSE)</f>
        <v>BANGALORE</v>
      </c>
      <c r="AI478" s="6" t="str">
        <f>VLOOKUP(K474,K$1:$L$601,1,FALSE)</f>
        <v>B2C</v>
      </c>
      <c r="AJ478" s="6">
        <f>VLOOKUP(L474,L$1:$L$601,1,FALSE)</f>
        <v>2116.52</v>
      </c>
    </row>
    <row r="479" spans="1:36" x14ac:dyDescent="0.25">
      <c r="A479">
        <v>1504</v>
      </c>
      <c r="B479" t="s">
        <v>529</v>
      </c>
      <c r="C479" t="s">
        <v>27</v>
      </c>
      <c r="D479" t="s">
        <v>28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29</v>
      </c>
      <c r="K479" t="s">
        <v>24</v>
      </c>
      <c r="L479" s="2">
        <v>-360.49</v>
      </c>
      <c r="Y479" s="6">
        <f>VLOOKUP(A475,A$1:$L$601,1,FALSE)</f>
        <v>1500</v>
      </c>
      <c r="Z479" s="6" t="str">
        <f>VLOOKUP(B475,B$1:$L$601,1,FALSE)</f>
        <v>Jerry Turner</v>
      </c>
      <c r="AA479" s="6" t="str">
        <f>VLOOKUP(C475,C$1:$L$601,1,FALSE)</f>
        <v>Jeans</v>
      </c>
      <c r="AB479" s="6" t="str">
        <f>VLOOKUP(D475,D$1:$L$601,1,FALSE)</f>
        <v>Straight Cut</v>
      </c>
      <c r="AC479" s="6">
        <f>VLOOKUP(E475,E$1:$L$601,1,FALSE)</f>
        <v>2.1052631578947367</v>
      </c>
      <c r="AD479" s="6">
        <f>VLOOKUP(F475,F$1:$L$601,1,FALSE)</f>
        <v>2128.7399999999998</v>
      </c>
      <c r="AE479" s="6">
        <f>VLOOKUP(G475,G$1:$L$601,1,FALSE)</f>
        <v>0.58977272727272723</v>
      </c>
      <c r="AF479" s="6">
        <f>VLOOKUP(H475,H$1:$L$601,1,FALSE)</f>
        <v>0</v>
      </c>
      <c r="AG479" s="6">
        <f>VLOOKUP(I475,I$1:$L$601,1,FALSE)</f>
        <v>45588</v>
      </c>
      <c r="AH479" s="6" t="str">
        <f>VLOOKUP(J475,J$1:$L$601,1,FALSE)</f>
        <v>AHMEDABAD</v>
      </c>
      <c r="AI479" s="6" t="str">
        <f>VLOOKUP(K475,K$1:$L$601,1,FALSE)</f>
        <v>B2B</v>
      </c>
      <c r="AJ479" s="6">
        <f>VLOOKUP(L475,L$1:$L$601,1,FALSE)</f>
        <v>-648.94000000000005</v>
      </c>
    </row>
    <row r="480" spans="1:36" x14ac:dyDescent="0.25">
      <c r="A480">
        <v>1506</v>
      </c>
      <c r="B480" t="s">
        <v>530</v>
      </c>
      <c r="C480" t="s">
        <v>36</v>
      </c>
      <c r="D480" t="s">
        <v>37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29</v>
      </c>
      <c r="K480" t="s">
        <v>16</v>
      </c>
      <c r="L480" s="2">
        <v>1406.62</v>
      </c>
      <c r="Y480" s="6">
        <f>VLOOKUP(A476,A$1:$L$601,1,FALSE)</f>
        <v>1501</v>
      </c>
      <c r="Z480" s="6" t="str">
        <f>VLOOKUP(B476,B$1:$L$601,1,FALSE)</f>
        <v>Brian Maldonado</v>
      </c>
      <c r="AA480" s="6" t="str">
        <f>VLOOKUP(C476,C$1:$L$601,1,FALSE)</f>
        <v>T-Shirts</v>
      </c>
      <c r="AB480" s="6" t="str">
        <f>VLOOKUP(D476,D$1:$L$601,1,FALSE)</f>
        <v>Crop Top</v>
      </c>
      <c r="AC480" s="6">
        <f>VLOOKUP(E476,E$1:$L$601,1,FALSE)</f>
        <v>1.5178571428571428</v>
      </c>
      <c r="AD480" s="6">
        <f>VLOOKUP(F476,F$1:$L$601,1,FALSE)</f>
        <v>2742.2927659574466</v>
      </c>
      <c r="AE480" s="6">
        <f>VLOOKUP(G476,G$1:$L$601,1,FALSE)</f>
        <v>0.65</v>
      </c>
      <c r="AF480" s="6">
        <f>VLOOKUP(H476,H$1:$L$601,1,FALSE)</f>
        <v>0</v>
      </c>
      <c r="AG480" s="6">
        <f>VLOOKUP(I476,I$1:$L$601,1,FALSE)</f>
        <v>45626.838268792708</v>
      </c>
      <c r="AH480" s="6" t="str">
        <f>VLOOKUP(J476,J$1:$L$601,1,FALSE)</f>
        <v>BANGALORE</v>
      </c>
      <c r="AI480" s="6" t="str">
        <f>VLOOKUP(K476,K$1:$L$601,1,FALSE)</f>
        <v>B2C</v>
      </c>
      <c r="AJ480" s="6">
        <f>VLOOKUP(L476,L$1:$L$601,1,FALSE)</f>
        <v>-957.83</v>
      </c>
    </row>
    <row r="481" spans="1:36" x14ac:dyDescent="0.25">
      <c r="A481">
        <v>1507</v>
      </c>
      <c r="B481" t="s">
        <v>531</v>
      </c>
      <c r="C481" t="s">
        <v>21</v>
      </c>
      <c r="D481" t="s">
        <v>22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  <c r="Y481" s="6">
        <f>VLOOKUP(A477,A$1:$L$601,1,FALSE)</f>
        <v>1502</v>
      </c>
      <c r="Z481" s="6" t="str">
        <f>VLOOKUP(B477,B$1:$L$601,1,FALSE)</f>
        <v>Randy Robertson</v>
      </c>
      <c r="AA481" s="6" t="str">
        <f>VLOOKUP(C477,C$1:$L$601,1,FALSE)</f>
        <v>Dresses</v>
      </c>
      <c r="AB481" s="6" t="str">
        <f>VLOOKUP(D477,D$1:$L$601,1,FALSE)</f>
        <v>Bodycon</v>
      </c>
      <c r="AC481" s="6">
        <f>VLOOKUP(E477,E$1:$L$601,1,FALSE)</f>
        <v>2.1864406779661016</v>
      </c>
      <c r="AD481" s="6">
        <f>VLOOKUP(F477,F$1:$L$601,1,FALSE)</f>
        <v>4260.95</v>
      </c>
      <c r="AE481" s="6">
        <f>VLOOKUP(G477,G$1:$L$601,1,FALSE)</f>
        <v>0.55000000000000004</v>
      </c>
      <c r="AF481" s="6">
        <f>VLOOKUP(H477,H$1:$L$601,1,FALSE)</f>
        <v>0</v>
      </c>
      <c r="AG481" s="6">
        <f>VLOOKUP(I477,I$1:$L$601,1,FALSE)</f>
        <v>45551</v>
      </c>
      <c r="AH481" s="6" t="str">
        <f>VLOOKUP(J477,J$1:$L$601,1,FALSE)</f>
        <v>DELHI</v>
      </c>
      <c r="AI481" s="6" t="str">
        <f>VLOOKUP(K477,K$1:$L$601,1,FALSE)</f>
        <v>B2C</v>
      </c>
      <c r="AJ481" s="6">
        <f>VLOOKUP(L477,L$1:$L$601,1,FALSE)</f>
        <v>-86.64</v>
      </c>
    </row>
    <row r="482" spans="1:36" x14ac:dyDescent="0.25">
      <c r="A482">
        <v>1508</v>
      </c>
      <c r="B482" t="s">
        <v>532</v>
      </c>
      <c r="C482" t="s">
        <v>41</v>
      </c>
      <c r="D482" t="s">
        <v>90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19</v>
      </c>
      <c r="K482" t="s">
        <v>16</v>
      </c>
      <c r="L482" s="2">
        <v>1796.35</v>
      </c>
      <c r="Y482" s="6">
        <f>VLOOKUP(A478,A$1:$L$601,1,FALSE)</f>
        <v>1503</v>
      </c>
      <c r="Z482" s="6" t="str">
        <f>VLOOKUP(B478,B$1:$L$601,1,FALSE)</f>
        <v>Linda Allen</v>
      </c>
      <c r="AA482" s="6" t="str">
        <f>VLOOKUP(C478,C$1:$L$601,1,FALSE)</f>
        <v>T-Shirts</v>
      </c>
      <c r="AB482" s="6" t="str">
        <f>VLOOKUP(D478,D$1:$L$601,1,FALSE)</f>
        <v>Oversized T-Shirt</v>
      </c>
      <c r="AC482" s="6">
        <f>VLOOKUP(E478,E$1:$L$601,1,FALSE)</f>
        <v>2</v>
      </c>
      <c r="AD482" s="6">
        <f>VLOOKUP(F478,F$1:$L$601,1,FALSE)</f>
        <v>4621.79</v>
      </c>
      <c r="AE482" s="6">
        <f>VLOOKUP(G478,G$1:$L$601,1,FALSE)</f>
        <v>0.32</v>
      </c>
      <c r="AF482" s="6">
        <f>VLOOKUP(H478,H$1:$L$601,1,FALSE)</f>
        <v>6285.63</v>
      </c>
      <c r="AG482" s="6">
        <f>VLOOKUP(I478,I$1:$L$601,1,FALSE)</f>
        <v>45795</v>
      </c>
      <c r="AH482" s="6" t="str">
        <f>VLOOKUP(J478,J$1:$L$601,1,FALSE)</f>
        <v>DELHI</v>
      </c>
      <c r="AI482" s="6" t="str">
        <f>VLOOKUP(K478,K$1:$L$601,1,FALSE)</f>
        <v>B2C</v>
      </c>
      <c r="AJ482" s="6">
        <f>VLOOKUP(L478,L$1:$L$601,1,FALSE)</f>
        <v>1350.48</v>
      </c>
    </row>
    <row r="483" spans="1:36" x14ac:dyDescent="0.25">
      <c r="A483">
        <v>1509</v>
      </c>
      <c r="B483" t="s">
        <v>533</v>
      </c>
      <c r="C483" t="s">
        <v>41</v>
      </c>
      <c r="D483" t="s">
        <v>90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29</v>
      </c>
      <c r="K483" t="s">
        <v>16</v>
      </c>
      <c r="L483" s="2">
        <v>1333.87</v>
      </c>
      <c r="Y483" s="6">
        <f>VLOOKUP(A479,A$1:$L$601,1,FALSE)</f>
        <v>1504</v>
      </c>
      <c r="Z483" s="6" t="str">
        <f>VLOOKUP(B479,B$1:$L$601,1,FALSE)</f>
        <v>James Matthews</v>
      </c>
      <c r="AA483" s="6" t="str">
        <f>VLOOKUP(C479,C$1:$L$601,1,FALSE)</f>
        <v>Shoes</v>
      </c>
      <c r="AB483" s="6" t="str">
        <f>VLOOKUP(D479,D$1:$L$601,1,FALSE)</f>
        <v>Loafers</v>
      </c>
      <c r="AC483" s="6">
        <f>VLOOKUP(E479,E$1:$L$601,1,FALSE)</f>
        <v>2</v>
      </c>
      <c r="AD483" s="6">
        <f>VLOOKUP(F479,F$1:$L$601,1,FALSE)</f>
        <v>2558.4299999999998</v>
      </c>
      <c r="AE483" s="6">
        <f>VLOOKUP(G479,G$1:$L$601,1,FALSE)</f>
        <v>0.59740740740740739</v>
      </c>
      <c r="AF483" s="6">
        <f>VLOOKUP(H479,H$1:$L$601,1,FALSE)</f>
        <v>0</v>
      </c>
      <c r="AG483" s="6">
        <f>VLOOKUP(I479,I$1:$L$601,1,FALSE)</f>
        <v>45604</v>
      </c>
      <c r="AH483" s="6" t="str">
        <f>VLOOKUP(J479,J$1:$L$601,1,FALSE)</f>
        <v>BANGALORE</v>
      </c>
      <c r="AI483" s="6" t="str">
        <f>VLOOKUP(K479,K$1:$L$601,1,FALSE)</f>
        <v>B2B</v>
      </c>
      <c r="AJ483" s="6">
        <f>VLOOKUP(L479,L$1:$L$601,1,FALSE)</f>
        <v>-360.49</v>
      </c>
    </row>
    <row r="484" spans="1:36" x14ac:dyDescent="0.25">
      <c r="A484">
        <v>1510</v>
      </c>
      <c r="B484" t="s">
        <v>534</v>
      </c>
      <c r="C484" t="s">
        <v>36</v>
      </c>
      <c r="D484" t="s">
        <v>81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  <c r="Y484" s="6">
        <f>VLOOKUP(A480,A$1:$L$601,1,FALSE)</f>
        <v>1506</v>
      </c>
      <c r="Z484" s="6" t="str">
        <f>VLOOKUP(B480,B$1:$L$601,1,FALSE)</f>
        <v>Robert Brooks</v>
      </c>
      <c r="AA484" s="6" t="str">
        <f>VLOOKUP(C480,C$1:$L$601,1,FALSE)</f>
        <v>T-Shirts</v>
      </c>
      <c r="AB484" s="6" t="str">
        <f>VLOOKUP(D480,D$1:$L$601,1,FALSE)</f>
        <v>Crop Top</v>
      </c>
      <c r="AC484" s="6">
        <f>VLOOKUP(E480,E$1:$L$601,1,FALSE)</f>
        <v>1.5178571428571428</v>
      </c>
      <c r="AD484" s="6">
        <f>VLOOKUP(F480,F$1:$L$601,1,FALSE)</f>
        <v>2742.2927659574466</v>
      </c>
      <c r="AE484" s="6">
        <f>VLOOKUP(G480,G$1:$L$601,1,FALSE)</f>
        <v>0.65787878787878773</v>
      </c>
      <c r="AF484" s="6">
        <f>VLOOKUP(H480,H$1:$L$601,1,FALSE)</f>
        <v>0</v>
      </c>
      <c r="AG484" s="6">
        <f>VLOOKUP(I480,I$1:$L$601,1,FALSE)</f>
        <v>45821</v>
      </c>
      <c r="AH484" s="6" t="str">
        <f>VLOOKUP(J480,J$1:$L$601,1,FALSE)</f>
        <v>BANGALORE</v>
      </c>
      <c r="AI484" s="6" t="str">
        <f>VLOOKUP(K480,K$1:$L$601,1,FALSE)</f>
        <v>B2C</v>
      </c>
      <c r="AJ484" s="6">
        <f>VLOOKUP(L480,L$1:$L$601,1,FALSE)</f>
        <v>1406.62</v>
      </c>
    </row>
    <row r="485" spans="1:36" x14ac:dyDescent="0.25">
      <c r="A485">
        <v>1511</v>
      </c>
      <c r="B485" t="s">
        <v>535</v>
      </c>
      <c r="C485" t="s">
        <v>21</v>
      </c>
      <c r="D485" t="s">
        <v>22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33</v>
      </c>
      <c r="K485" t="s">
        <v>24</v>
      </c>
      <c r="L485" s="2">
        <v>-521.84</v>
      </c>
      <c r="Y485" s="6">
        <f>VLOOKUP(A481,A$1:$L$601,1,FALSE)</f>
        <v>1507</v>
      </c>
      <c r="Z485" s="6" t="str">
        <f>VLOOKUP(B481,B$1:$L$601,1,FALSE)</f>
        <v>Michael Smith</v>
      </c>
      <c r="AA485" s="6" t="str">
        <f>VLOOKUP(C481,C$1:$L$601,1,FALSE)</f>
        <v>Jackets</v>
      </c>
      <c r="AB485" s="6" t="str">
        <f>VLOOKUP(D481,D$1:$L$601,1,FALSE)</f>
        <v>Puffer Coat</v>
      </c>
      <c r="AC485" s="6">
        <f>VLOOKUP(E481,E$1:$L$601,1,FALSE)</f>
        <v>1.8076923076923077</v>
      </c>
      <c r="AD485" s="6">
        <f>VLOOKUP(F481,F$1:$L$601,1,FALSE)</f>
        <v>3597.73</v>
      </c>
      <c r="AE485" s="6">
        <f>VLOOKUP(G481,G$1:$L$601,1,FALSE)</f>
        <v>0.69969696969696993</v>
      </c>
      <c r="AF485" s="6">
        <f>VLOOKUP(H481,H$1:$L$601,1,FALSE)</f>
        <v>0</v>
      </c>
      <c r="AG485" s="6">
        <f>VLOOKUP(I481,I$1:$L$601,1,FALSE)</f>
        <v>45560</v>
      </c>
      <c r="AH485" s="6" t="str">
        <f>VLOOKUP(J481,J$1:$L$601,1,FALSE)</f>
        <v>DELHI</v>
      </c>
      <c r="AI485" s="6" t="str">
        <f>VLOOKUP(K481,K$1:$L$601,1,FALSE)</f>
        <v>B2C</v>
      </c>
      <c r="AJ485" s="6">
        <f>VLOOKUP(L481,L$1:$L$601,1,FALSE)</f>
        <v>-857.53</v>
      </c>
    </row>
    <row r="486" spans="1:36" x14ac:dyDescent="0.25">
      <c r="A486">
        <v>1512</v>
      </c>
      <c r="B486" t="s">
        <v>536</v>
      </c>
      <c r="C486" t="s">
        <v>31</v>
      </c>
      <c r="D486" t="s">
        <v>44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  <c r="Y486" s="6">
        <f>VLOOKUP(A482,A$1:$L$601,1,FALSE)</f>
        <v>1508</v>
      </c>
      <c r="Z486" s="6" t="str">
        <f>VLOOKUP(B482,B$1:$L$601,1,FALSE)</f>
        <v>Justin Dean</v>
      </c>
      <c r="AA486" s="6" t="str">
        <f>VLOOKUP(C482,C$1:$L$601,1,FALSE)</f>
        <v>Dresses</v>
      </c>
      <c r="AB486" s="6" t="str">
        <f>VLOOKUP(D482,D$1:$L$601,1,FALSE)</f>
        <v>Bodycon</v>
      </c>
      <c r="AC486" s="6">
        <f>VLOOKUP(E482,E$1:$L$601,1,FALSE)</f>
        <v>1.5178571428571428</v>
      </c>
      <c r="AD486" s="6">
        <f>VLOOKUP(F482,F$1:$L$601,1,FALSE)</f>
        <v>2949.9901960784309</v>
      </c>
      <c r="AE486" s="6">
        <f>VLOOKUP(G482,G$1:$L$601,1,FALSE)</f>
        <v>0.55000000000000004</v>
      </c>
      <c r="AF486" s="6">
        <f>VLOOKUP(H482,H$1:$L$601,1,FALSE)</f>
        <v>0</v>
      </c>
      <c r="AG486" s="6">
        <f>VLOOKUP(I482,I$1:$L$601,1,FALSE)</f>
        <v>45530</v>
      </c>
      <c r="AH486" s="6" t="str">
        <f>VLOOKUP(J482,J$1:$L$601,1,FALSE)</f>
        <v>AHMEDABAD</v>
      </c>
      <c r="AI486" s="6" t="str">
        <f>VLOOKUP(K482,K$1:$L$601,1,FALSE)</f>
        <v>B2C</v>
      </c>
      <c r="AJ486" s="6">
        <f>VLOOKUP(L482,L$1:$L$601,1,FALSE)</f>
        <v>1796.35</v>
      </c>
    </row>
    <row r="487" spans="1:36" x14ac:dyDescent="0.25">
      <c r="A487">
        <v>1513</v>
      </c>
      <c r="B487" t="s">
        <v>537</v>
      </c>
      <c r="C487" t="s">
        <v>21</v>
      </c>
      <c r="D487" t="s">
        <v>121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  <c r="Y487" s="6">
        <f>VLOOKUP(A483,A$1:$L$601,1,FALSE)</f>
        <v>1509</v>
      </c>
      <c r="Z487" s="6" t="str">
        <f>VLOOKUP(B483,B$1:$L$601,1,FALSE)</f>
        <v>Rachel Johnston</v>
      </c>
      <c r="AA487" s="6" t="str">
        <f>VLOOKUP(C483,C$1:$L$601,1,FALSE)</f>
        <v>Dresses</v>
      </c>
      <c r="AB487" s="6" t="str">
        <f>VLOOKUP(D483,D$1:$L$601,1,FALSE)</f>
        <v>Bodycon</v>
      </c>
      <c r="AC487" s="6">
        <f>VLOOKUP(E483,E$1:$L$601,1,FALSE)</f>
        <v>2.1864406779661016</v>
      </c>
      <c r="AD487" s="6">
        <f>VLOOKUP(F483,F$1:$L$601,1,FALSE)</f>
        <v>2949.9901960784309</v>
      </c>
      <c r="AE487" s="6">
        <f>VLOOKUP(G483,G$1:$L$601,1,FALSE)</f>
        <v>0.28000000000000003</v>
      </c>
      <c r="AF487" s="6">
        <f>VLOOKUP(H483,H$1:$L$601,1,FALSE)</f>
        <v>0</v>
      </c>
      <c r="AG487" s="6">
        <f>VLOOKUP(I483,I$1:$L$601,1,FALSE)</f>
        <v>45584</v>
      </c>
      <c r="AH487" s="6" t="str">
        <f>VLOOKUP(J483,J$1:$L$601,1,FALSE)</f>
        <v>BANGALORE</v>
      </c>
      <c r="AI487" s="6" t="str">
        <f>VLOOKUP(K483,K$1:$L$601,1,FALSE)</f>
        <v>B2C</v>
      </c>
      <c r="AJ487" s="6">
        <f>VLOOKUP(L483,L$1:$L$601,1,FALSE)</f>
        <v>1333.87</v>
      </c>
    </row>
    <row r="488" spans="1:36" x14ac:dyDescent="0.25">
      <c r="A488">
        <v>1514</v>
      </c>
      <c r="B488" t="s">
        <v>538</v>
      </c>
      <c r="C488" t="s">
        <v>36</v>
      </c>
      <c r="D488" t="s">
        <v>46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23</v>
      </c>
      <c r="K488" t="s">
        <v>16</v>
      </c>
      <c r="L488" s="2">
        <v>-760.9</v>
      </c>
      <c r="Y488" s="6">
        <f>VLOOKUP(A484,A$1:$L$601,1,FALSE)</f>
        <v>1510</v>
      </c>
      <c r="Z488" s="6" t="str">
        <f>VLOOKUP(B484,B$1:$L$601,1,FALSE)</f>
        <v>Susan Bird</v>
      </c>
      <c r="AA488" s="6" t="str">
        <f>VLOOKUP(C484,C$1:$L$601,1,FALSE)</f>
        <v>T-Shirts</v>
      </c>
      <c r="AB488" s="6" t="str">
        <f>VLOOKUP(D484,D$1:$L$601,1,FALSE)</f>
        <v>Graphic Tee</v>
      </c>
      <c r="AC488" s="6">
        <f>VLOOKUP(E484,E$1:$L$601,1,FALSE)</f>
        <v>1.5178571428571428</v>
      </c>
      <c r="AD488" s="6">
        <f>VLOOKUP(F484,F$1:$L$601,1,FALSE)</f>
        <v>1897.11</v>
      </c>
      <c r="AE488" s="6">
        <f>VLOOKUP(G484,G$1:$L$601,1,FALSE)</f>
        <v>0.65787878787878773</v>
      </c>
      <c r="AF488" s="6">
        <f>VLOOKUP(H484,H$1:$L$601,1,FALSE)</f>
        <v>0</v>
      </c>
      <c r="AG488" s="6">
        <f>VLOOKUP(I484,I$1:$L$601,1,FALSE)</f>
        <v>45752</v>
      </c>
      <c r="AH488" s="6" t="str">
        <f>VLOOKUP(J484,J$1:$L$601,1,FALSE)</f>
        <v>DELHI</v>
      </c>
      <c r="AI488" s="6" t="str">
        <f>VLOOKUP(K484,K$1:$L$601,1,FALSE)</f>
        <v>B2C</v>
      </c>
      <c r="AJ488" s="6">
        <f>VLOOKUP(L484,L$1:$L$601,1,FALSE)</f>
        <v>-345.3</v>
      </c>
    </row>
    <row r="489" spans="1:36" x14ac:dyDescent="0.25">
      <c r="A489">
        <v>1515</v>
      </c>
      <c r="B489" t="s">
        <v>539</v>
      </c>
      <c r="C489" t="s">
        <v>31</v>
      </c>
      <c r="D489" t="s">
        <v>44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  <c r="Y489" s="6">
        <f>VLOOKUP(A485,A$1:$L$601,1,FALSE)</f>
        <v>1511</v>
      </c>
      <c r="Z489" s="6" t="str">
        <f>VLOOKUP(B485,B$1:$L$601,1,FALSE)</f>
        <v>Michael Ruiz</v>
      </c>
      <c r="AA489" s="6" t="str">
        <f>VLOOKUP(C485,C$1:$L$601,1,FALSE)</f>
        <v>Jackets</v>
      </c>
      <c r="AB489" s="6" t="str">
        <f>VLOOKUP(D485,D$1:$L$601,1,FALSE)</f>
        <v>Puffer Coat</v>
      </c>
      <c r="AC489" s="6">
        <f>VLOOKUP(E485,E$1:$L$601,1,FALSE)</f>
        <v>1.8076923076923077</v>
      </c>
      <c r="AD489" s="6">
        <f>VLOOKUP(F485,F$1:$L$601,1,FALSE)</f>
        <v>2811.5702272727276</v>
      </c>
      <c r="AE489" s="6">
        <f>VLOOKUP(G485,G$1:$L$601,1,FALSE)</f>
        <v>0.93</v>
      </c>
      <c r="AF489" s="6">
        <f>VLOOKUP(H485,H$1:$L$601,1,FALSE)</f>
        <v>0</v>
      </c>
      <c r="AG489" s="6">
        <f>VLOOKUP(I485,I$1:$L$601,1,FALSE)</f>
        <v>45606</v>
      </c>
      <c r="AH489" s="6" t="str">
        <f>VLOOKUP(J485,J$1:$L$601,1,FALSE)</f>
        <v>HYDERBAD</v>
      </c>
      <c r="AI489" s="6" t="str">
        <f>VLOOKUP(K485,K$1:$L$601,1,FALSE)</f>
        <v>B2B</v>
      </c>
      <c r="AJ489" s="6">
        <f>VLOOKUP(L485,L$1:$L$601,1,FALSE)</f>
        <v>-521.84</v>
      </c>
    </row>
    <row r="490" spans="1:36" x14ac:dyDescent="0.25">
      <c r="A490">
        <v>1516</v>
      </c>
      <c r="B490" t="s">
        <v>540</v>
      </c>
      <c r="C490" t="s">
        <v>41</v>
      </c>
      <c r="D490" t="s">
        <v>42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19</v>
      </c>
      <c r="K490" t="s">
        <v>24</v>
      </c>
      <c r="L490" s="2">
        <v>-104.79</v>
      </c>
      <c r="Y490" s="6">
        <f>VLOOKUP(A486,A$1:$L$601,1,FALSE)</f>
        <v>1512</v>
      </c>
      <c r="Z490" s="6" t="str">
        <f>VLOOKUP(B486,B$1:$L$601,1,FALSE)</f>
        <v>Sarah Stokes</v>
      </c>
      <c r="AA490" s="6" t="str">
        <f>VLOOKUP(C486,C$1:$L$601,1,FALSE)</f>
        <v>Accessories</v>
      </c>
      <c r="AB490" s="6" t="str">
        <f>VLOOKUP(D486,D$1:$L$601,1,FALSE)</f>
        <v>Sunglasses</v>
      </c>
      <c r="AC490" s="6">
        <f>VLOOKUP(E486,E$1:$L$601,1,FALSE)</f>
        <v>2.4893617021276597</v>
      </c>
      <c r="AD490" s="6">
        <f>VLOOKUP(F486,F$1:$L$601,1,FALSE)</f>
        <v>2706.1301960784322</v>
      </c>
      <c r="AE490" s="6">
        <f>VLOOKUP(G486,G$1:$L$601,1,FALSE)</f>
        <v>0.70297297297297334</v>
      </c>
      <c r="AF490" s="6">
        <f>VLOOKUP(H486,H$1:$L$601,1,FALSE)</f>
        <v>0</v>
      </c>
      <c r="AG490" s="6">
        <f>VLOOKUP(I486,I$1:$L$601,1,FALSE)</f>
        <v>45458</v>
      </c>
      <c r="AH490" s="6" t="str">
        <f>VLOOKUP(J486,J$1:$L$601,1,FALSE)</f>
        <v>DELHI</v>
      </c>
      <c r="AI490" s="6" t="str">
        <f>VLOOKUP(K486,K$1:$L$601,1,FALSE)</f>
        <v>B2C</v>
      </c>
      <c r="AJ490" s="6">
        <f>VLOOKUP(L486,L$1:$L$601,1,FALSE)</f>
        <v>352.91</v>
      </c>
    </row>
    <row r="491" spans="1:36" x14ac:dyDescent="0.25">
      <c r="A491">
        <v>1517</v>
      </c>
      <c r="B491" t="s">
        <v>541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19</v>
      </c>
      <c r="K491" t="s">
        <v>24</v>
      </c>
      <c r="L491" s="2">
        <v>-157.21</v>
      </c>
      <c r="Y491" s="6">
        <f>VLOOKUP(A487,A$1:$L$601,1,FALSE)</f>
        <v>1513</v>
      </c>
      <c r="Z491" s="6" t="str">
        <f>VLOOKUP(B487,B$1:$L$601,1,FALSE)</f>
        <v>Laura Simmons</v>
      </c>
      <c r="AA491" s="6" t="str">
        <f>VLOOKUP(C487,C$1:$L$601,1,FALSE)</f>
        <v>Jackets</v>
      </c>
      <c r="AB491" s="6" t="str">
        <f>VLOOKUP(D487,D$1:$L$601,1,FALSE)</f>
        <v>Leather Jacket</v>
      </c>
      <c r="AC491" s="6">
        <f>VLOOKUP(E487,E$1:$L$601,1,FALSE)</f>
        <v>6</v>
      </c>
      <c r="AD491" s="6">
        <f>VLOOKUP(F487,F$1:$L$601,1,FALSE)</f>
        <v>2811.5702272727276</v>
      </c>
      <c r="AE491" s="6">
        <f>VLOOKUP(G487,G$1:$L$601,1,FALSE)</f>
        <v>0.69969696969696993</v>
      </c>
      <c r="AF491" s="6">
        <f>VLOOKUP(H487,H$1:$L$601,1,FALSE)</f>
        <v>0</v>
      </c>
      <c r="AG491" s="6">
        <f>VLOOKUP(I487,I$1:$L$601,1,FALSE)</f>
        <v>45402</v>
      </c>
      <c r="AH491" s="6" t="str">
        <f>VLOOKUP(J487,J$1:$L$601,1,FALSE)</f>
        <v>DELHI</v>
      </c>
      <c r="AI491" s="6" t="str">
        <f>VLOOKUP(K487,K$1:$L$601,1,FALSE)</f>
        <v>B2C</v>
      </c>
      <c r="AJ491" s="6">
        <f>VLOOKUP(L487,L$1:$L$601,1,FALSE)</f>
        <v>156.52000000000001</v>
      </c>
    </row>
    <row r="492" spans="1:36" x14ac:dyDescent="0.25">
      <c r="A492">
        <v>1518</v>
      </c>
      <c r="B492" t="s">
        <v>542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  <c r="Y492" s="6">
        <f>VLOOKUP(A488,A$1:$L$601,1,FALSE)</f>
        <v>1514</v>
      </c>
      <c r="Z492" s="6" t="str">
        <f>VLOOKUP(B488,B$1:$L$601,1,FALSE)</f>
        <v>Kenneth Mcdaniel</v>
      </c>
      <c r="AA492" s="6" t="str">
        <f>VLOOKUP(C488,C$1:$L$601,1,FALSE)</f>
        <v>T-Shirts</v>
      </c>
      <c r="AB492" s="6" t="str">
        <f>VLOOKUP(D488,D$1:$L$601,1,FALSE)</f>
        <v>Oversized T-Shirt</v>
      </c>
      <c r="AC492" s="6">
        <f>VLOOKUP(E488,E$1:$L$601,1,FALSE)</f>
        <v>1.5178571428571428</v>
      </c>
      <c r="AD492" s="6">
        <f>VLOOKUP(F488,F$1:$L$601,1,FALSE)</f>
        <v>2343.7199999999998</v>
      </c>
      <c r="AE492" s="6">
        <f>VLOOKUP(G488,G$1:$L$601,1,FALSE)</f>
        <v>0.65787878787878773</v>
      </c>
      <c r="AF492" s="6">
        <f>VLOOKUP(H488,H$1:$L$601,1,FALSE)</f>
        <v>0</v>
      </c>
      <c r="AG492" s="6">
        <f>VLOOKUP(I488,I$1:$L$601,1,FALSE)</f>
        <v>45810</v>
      </c>
      <c r="AH492" s="6" t="str">
        <f>VLOOKUP(J488,J$1:$L$601,1,FALSE)</f>
        <v>MUMBAI</v>
      </c>
      <c r="AI492" s="6" t="str">
        <f>VLOOKUP(K488,K$1:$L$601,1,FALSE)</f>
        <v>B2C</v>
      </c>
      <c r="AJ492" s="6">
        <f>VLOOKUP(L488,L$1:$L$601,1,FALSE)</f>
        <v>-760.9</v>
      </c>
    </row>
    <row r="493" spans="1:36" x14ac:dyDescent="0.25">
      <c r="A493">
        <v>1519</v>
      </c>
      <c r="B493" t="s">
        <v>543</v>
      </c>
      <c r="C493" t="s">
        <v>31</v>
      </c>
      <c r="D493" t="s">
        <v>32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23</v>
      </c>
      <c r="K493" t="s">
        <v>24</v>
      </c>
      <c r="L493" s="2">
        <v>2567.73</v>
      </c>
      <c r="Y493" s="6">
        <f>VLOOKUP(A489,A$1:$L$601,1,FALSE)</f>
        <v>1515</v>
      </c>
      <c r="Z493" s="6" t="str">
        <f>VLOOKUP(B489,B$1:$L$601,1,FALSE)</f>
        <v>Lauren Bailey</v>
      </c>
      <c r="AA493" s="6" t="str">
        <f>VLOOKUP(C489,C$1:$L$601,1,FALSE)</f>
        <v>Accessories</v>
      </c>
      <c r="AB493" s="6" t="str">
        <f>VLOOKUP(D489,D$1:$L$601,1,FALSE)</f>
        <v>Sunglasses</v>
      </c>
      <c r="AC493" s="6">
        <f>VLOOKUP(E489,E$1:$L$601,1,FALSE)</f>
        <v>3</v>
      </c>
      <c r="AD493" s="6">
        <f>VLOOKUP(F489,F$1:$L$601,1,FALSE)</f>
        <v>4596.03</v>
      </c>
      <c r="AE493" s="6">
        <f>VLOOKUP(G489,G$1:$L$601,1,FALSE)</f>
        <v>0.70297297297297334</v>
      </c>
      <c r="AF493" s="6">
        <f>VLOOKUP(H489,H$1:$L$601,1,FALSE)</f>
        <v>0</v>
      </c>
      <c r="AG493" s="6">
        <f>VLOOKUP(I489,I$1:$L$601,1,FALSE)</f>
        <v>45839</v>
      </c>
      <c r="AH493" s="6" t="str">
        <f>VLOOKUP(J489,J$1:$L$601,1,FALSE)</f>
        <v>DELHI</v>
      </c>
      <c r="AI493" s="6" t="str">
        <f>VLOOKUP(K489,K$1:$L$601,1,FALSE)</f>
        <v>B2C</v>
      </c>
      <c r="AJ493" s="6">
        <f>VLOOKUP(L489,L$1:$L$601,1,FALSE)</f>
        <v>-866.29</v>
      </c>
    </row>
    <row r="494" spans="1:36" x14ac:dyDescent="0.25">
      <c r="A494">
        <v>1520</v>
      </c>
      <c r="B494" t="s">
        <v>544</v>
      </c>
      <c r="C494" t="s">
        <v>36</v>
      </c>
      <c r="D494" t="s">
        <v>37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23</v>
      </c>
      <c r="K494" t="s">
        <v>16</v>
      </c>
      <c r="L494" s="2">
        <v>-822.18</v>
      </c>
      <c r="Y494" s="6">
        <f>VLOOKUP(A490,A$1:$L$601,1,FALSE)</f>
        <v>1516</v>
      </c>
      <c r="Z494" s="6" t="str">
        <f>VLOOKUP(B490,B$1:$L$601,1,FALSE)</f>
        <v>Brittany Munoz</v>
      </c>
      <c r="AA494" s="6" t="str">
        <f>VLOOKUP(C490,C$1:$L$601,1,FALSE)</f>
        <v>Dresses</v>
      </c>
      <c r="AB494" s="6" t="str">
        <f>VLOOKUP(D490,D$1:$L$601,1,FALSE)</f>
        <v>Casual Midi</v>
      </c>
      <c r="AC494" s="6">
        <f>VLOOKUP(E490,E$1:$L$601,1,FALSE)</f>
        <v>1.5178571428571428</v>
      </c>
      <c r="AD494" s="6">
        <f>VLOOKUP(F490,F$1:$L$601,1,FALSE)</f>
        <v>1039.31</v>
      </c>
      <c r="AE494" s="6">
        <f>VLOOKUP(G490,G$1:$L$601,1,FALSE)</f>
        <v>0.94</v>
      </c>
      <c r="AF494" s="6">
        <f>VLOOKUP(H490,H$1:$L$601,1,FALSE)</f>
        <v>-62.36</v>
      </c>
      <c r="AG494" s="6">
        <f>VLOOKUP(I490,I$1:$L$601,1,FALSE)</f>
        <v>45626.838268792708</v>
      </c>
      <c r="AH494" s="6" t="str">
        <f>VLOOKUP(J490,J$1:$L$601,1,FALSE)</f>
        <v>AHMEDABAD</v>
      </c>
      <c r="AI494" s="6" t="str">
        <f>VLOOKUP(K490,K$1:$L$601,1,FALSE)</f>
        <v>B2B</v>
      </c>
      <c r="AJ494" s="6">
        <f>VLOOKUP(L490,L$1:$L$601,1,FALSE)</f>
        <v>-104.79</v>
      </c>
    </row>
    <row r="495" spans="1:36" x14ac:dyDescent="0.25">
      <c r="A495">
        <v>1521</v>
      </c>
      <c r="B495" t="s">
        <v>545</v>
      </c>
      <c r="C495" t="s">
        <v>13</v>
      </c>
      <c r="D495" t="s">
        <v>51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33</v>
      </c>
      <c r="K495" t="s">
        <v>16</v>
      </c>
      <c r="L495" s="2">
        <v>-943.46</v>
      </c>
      <c r="Y495" s="6">
        <f>VLOOKUP(A491,A$1:$L$601,1,FALSE)</f>
        <v>1517</v>
      </c>
      <c r="Z495" s="6" t="str">
        <f>VLOOKUP(B491,B$1:$L$601,1,FALSE)</f>
        <v>Benjamin Lutz</v>
      </c>
      <c r="AA495" s="6" t="str">
        <f>VLOOKUP(C491,C$1:$L$601,1,FALSE)</f>
        <v>Jeans</v>
      </c>
      <c r="AB495" s="6" t="str">
        <f>VLOOKUP(D491,D$1:$L$601,1,FALSE)</f>
        <v>Slim Fit Jeans</v>
      </c>
      <c r="AC495" s="6">
        <f>VLOOKUP(E491,E$1:$L$601,1,FALSE)</f>
        <v>2.1052631578947367</v>
      </c>
      <c r="AD495" s="6">
        <f>VLOOKUP(F491,F$1:$L$601,1,FALSE)</f>
        <v>4944.25</v>
      </c>
      <c r="AE495" s="6">
        <f>VLOOKUP(G491,G$1:$L$601,1,FALSE)</f>
        <v>0.58977272727272723</v>
      </c>
      <c r="AF495" s="6">
        <f>VLOOKUP(H491,H$1:$L$601,1,FALSE)</f>
        <v>0</v>
      </c>
      <c r="AG495" s="6">
        <f>VLOOKUP(I491,I$1:$L$601,1,FALSE)</f>
        <v>45422</v>
      </c>
      <c r="AH495" s="6" t="str">
        <f>VLOOKUP(J491,J$1:$L$601,1,FALSE)</f>
        <v>AHMEDABAD</v>
      </c>
      <c r="AI495" s="6" t="str">
        <f>VLOOKUP(K491,K$1:$L$601,1,FALSE)</f>
        <v>B2B</v>
      </c>
      <c r="AJ495" s="6">
        <f>VLOOKUP(L491,L$1:$L$601,1,FALSE)</f>
        <v>-157.21</v>
      </c>
    </row>
    <row r="496" spans="1:36" x14ac:dyDescent="0.25">
      <c r="A496">
        <v>1522</v>
      </c>
      <c r="B496" t="s">
        <v>546</v>
      </c>
      <c r="C496" t="s">
        <v>31</v>
      </c>
      <c r="D496" t="s">
        <v>44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29</v>
      </c>
      <c r="K496" t="s">
        <v>24</v>
      </c>
      <c r="L496" s="2">
        <v>547.09</v>
      </c>
      <c r="Y496" s="6">
        <f>VLOOKUP(A492,A$1:$L$601,1,FALSE)</f>
        <v>1518</v>
      </c>
      <c r="Z496" s="6" t="str">
        <f>VLOOKUP(B492,B$1:$L$601,1,FALSE)</f>
        <v>Andrew Williams</v>
      </c>
      <c r="AA496" s="6" t="str">
        <f>VLOOKUP(C492,C$1:$L$601,1,FALSE)</f>
        <v>Jeans</v>
      </c>
      <c r="AB496" s="6" t="str">
        <f>VLOOKUP(D492,D$1:$L$601,1,FALSE)</f>
        <v>Slim Fit Jeans</v>
      </c>
      <c r="AC496" s="6">
        <f>VLOOKUP(E492,E$1:$L$601,1,FALSE)</f>
        <v>2.1052631578947367</v>
      </c>
      <c r="AD496" s="6">
        <f>VLOOKUP(F492,F$1:$L$601,1,FALSE)</f>
        <v>706.71</v>
      </c>
      <c r="AE496" s="6">
        <f>VLOOKUP(G492,G$1:$L$601,1,FALSE)</f>
        <v>0.58977272727272723</v>
      </c>
      <c r="AF496" s="6">
        <f>VLOOKUP(H492,H$1:$L$601,1,FALSE)</f>
        <v>0</v>
      </c>
      <c r="AG496" s="6">
        <f>VLOOKUP(I492,I$1:$L$601,1,FALSE)</f>
        <v>45831</v>
      </c>
      <c r="AH496" s="6" t="str">
        <f>VLOOKUP(J492,J$1:$L$601,1,FALSE)</f>
        <v>DELHI</v>
      </c>
      <c r="AI496" s="6" t="str">
        <f>VLOOKUP(K492,K$1:$L$601,1,FALSE)</f>
        <v>B2C</v>
      </c>
      <c r="AJ496" s="6">
        <f>VLOOKUP(L492,L$1:$L$601,1,FALSE)</f>
        <v>-285.44</v>
      </c>
    </row>
    <row r="497" spans="1:36" x14ac:dyDescent="0.25">
      <c r="A497">
        <v>1523</v>
      </c>
      <c r="B497" t="s">
        <v>547</v>
      </c>
      <c r="C497" t="s">
        <v>36</v>
      </c>
      <c r="D497" t="s">
        <v>46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19</v>
      </c>
      <c r="K497" t="s">
        <v>24</v>
      </c>
      <c r="L497" s="2">
        <v>1475.12</v>
      </c>
      <c r="Y497" s="6">
        <f>VLOOKUP(A493,A$1:$L$601,1,FALSE)</f>
        <v>1519</v>
      </c>
      <c r="Z497" s="6" t="str">
        <f>VLOOKUP(B493,B$1:$L$601,1,FALSE)</f>
        <v>Jennifer Alvarado</v>
      </c>
      <c r="AA497" s="6" t="str">
        <f>VLOOKUP(C493,C$1:$L$601,1,FALSE)</f>
        <v>Accessories</v>
      </c>
      <c r="AB497" s="6" t="str">
        <f>VLOOKUP(D493,D$1:$L$601,1,FALSE)</f>
        <v>Belts</v>
      </c>
      <c r="AC497" s="6">
        <f>VLOOKUP(E493,E$1:$L$601,1,FALSE)</f>
        <v>1</v>
      </c>
      <c r="AD497" s="6">
        <f>VLOOKUP(F493,F$1:$L$601,1,FALSE)</f>
        <v>3762.86</v>
      </c>
      <c r="AE497" s="6">
        <f>VLOOKUP(G493,G$1:$L$601,1,FALSE)</f>
        <v>0.70297297297297334</v>
      </c>
      <c r="AF497" s="6">
        <f>VLOOKUP(H493,H$1:$L$601,1,FALSE)</f>
        <v>0</v>
      </c>
      <c r="AG497" s="6">
        <f>VLOOKUP(I493,I$1:$L$601,1,FALSE)</f>
        <v>45582</v>
      </c>
      <c r="AH497" s="6" t="str">
        <f>VLOOKUP(J493,J$1:$L$601,1,FALSE)</f>
        <v>MUMBAI</v>
      </c>
      <c r="AI497" s="6" t="str">
        <f>VLOOKUP(K493,K$1:$L$601,1,FALSE)</f>
        <v>B2B</v>
      </c>
      <c r="AJ497" s="6">
        <f>VLOOKUP(L493,L$1:$L$601,1,FALSE)</f>
        <v>2567.73</v>
      </c>
    </row>
    <row r="498" spans="1:36" x14ac:dyDescent="0.25">
      <c r="A498">
        <v>1524</v>
      </c>
      <c r="B498" t="s">
        <v>548</v>
      </c>
      <c r="C498" t="s">
        <v>41</v>
      </c>
      <c r="D498" t="s">
        <v>63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33</v>
      </c>
      <c r="K498" t="s">
        <v>16</v>
      </c>
      <c r="L498" s="2">
        <v>2668.06</v>
      </c>
      <c r="Y498" s="6">
        <f>VLOOKUP(A494,A$1:$L$601,1,FALSE)</f>
        <v>1520</v>
      </c>
      <c r="Z498" s="6" t="str">
        <f>VLOOKUP(B494,B$1:$L$601,1,FALSE)</f>
        <v>James Taylor</v>
      </c>
      <c r="AA498" s="6" t="str">
        <f>VLOOKUP(C494,C$1:$L$601,1,FALSE)</f>
        <v>T-Shirts</v>
      </c>
      <c r="AB498" s="6" t="str">
        <f>VLOOKUP(D494,D$1:$L$601,1,FALSE)</f>
        <v>Crop Top</v>
      </c>
      <c r="AC498" s="6">
        <f>VLOOKUP(E494,E$1:$L$601,1,FALSE)</f>
        <v>4</v>
      </c>
      <c r="AD498" s="6">
        <f>VLOOKUP(F494,F$1:$L$601,1,FALSE)</f>
        <v>2742.2927659574466</v>
      </c>
      <c r="AE498" s="6">
        <f>VLOOKUP(G494,G$1:$L$601,1,FALSE)</f>
        <v>0.71</v>
      </c>
      <c r="AF498" s="6">
        <f>VLOOKUP(H494,H$1:$L$601,1,FALSE)</f>
        <v>0</v>
      </c>
      <c r="AG498" s="6">
        <f>VLOOKUP(I494,I$1:$L$601,1,FALSE)</f>
        <v>45777</v>
      </c>
      <c r="AH498" s="6" t="str">
        <f>VLOOKUP(J494,J$1:$L$601,1,FALSE)</f>
        <v>MUMBAI</v>
      </c>
      <c r="AI498" s="6" t="str">
        <f>VLOOKUP(K494,K$1:$L$601,1,FALSE)</f>
        <v>B2C</v>
      </c>
      <c r="AJ498" s="6">
        <f>VLOOKUP(L494,L$1:$L$601,1,FALSE)</f>
        <v>-822.18</v>
      </c>
    </row>
    <row r="499" spans="1:36" x14ac:dyDescent="0.25">
      <c r="A499">
        <v>1525</v>
      </c>
      <c r="B499" t="s">
        <v>549</v>
      </c>
      <c r="C499" t="s">
        <v>31</v>
      </c>
      <c r="D499" t="s">
        <v>119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33</v>
      </c>
      <c r="K499" t="s">
        <v>24</v>
      </c>
      <c r="L499" s="2">
        <v>-602.79999999999995</v>
      </c>
      <c r="Y499" s="6">
        <f>VLOOKUP(A495,A$1:$L$601,1,FALSE)</f>
        <v>1521</v>
      </c>
      <c r="Z499" s="6" t="str">
        <f>VLOOKUP(B495,B$1:$L$601,1,FALSE)</f>
        <v>Krista Nichols</v>
      </c>
      <c r="AA499" s="6" t="str">
        <f>VLOOKUP(C495,C$1:$L$601,1,FALSE)</f>
        <v>Jeans</v>
      </c>
      <c r="AB499" s="6" t="str">
        <f>VLOOKUP(D495,D$1:$L$601,1,FALSE)</f>
        <v>Straight Cut</v>
      </c>
      <c r="AC499" s="6">
        <f>VLOOKUP(E495,E$1:$L$601,1,FALSE)</f>
        <v>2.1052631578947367</v>
      </c>
      <c r="AD499" s="6">
        <f>VLOOKUP(F495,F$1:$L$601,1,FALSE)</f>
        <v>2362.0300000000002</v>
      </c>
      <c r="AE499" s="6">
        <f>VLOOKUP(G495,G$1:$L$601,1,FALSE)</f>
        <v>1.2699999999999999E-2</v>
      </c>
      <c r="AF499" s="6">
        <f>VLOOKUP(H495,H$1:$L$601,1,FALSE)</f>
        <v>0</v>
      </c>
      <c r="AG499" s="6">
        <f>VLOOKUP(I495,I$1:$L$601,1,FALSE)</f>
        <v>45788</v>
      </c>
      <c r="AH499" s="6" t="str">
        <f>VLOOKUP(J495,J$1:$L$601,1,FALSE)</f>
        <v>HYDERBAD</v>
      </c>
      <c r="AI499" s="6" t="str">
        <f>VLOOKUP(K495,K$1:$L$601,1,FALSE)</f>
        <v>B2C</v>
      </c>
      <c r="AJ499" s="6">
        <f>VLOOKUP(L495,L$1:$L$601,1,FALSE)</f>
        <v>-943.46</v>
      </c>
    </row>
    <row r="500" spans="1:36" x14ac:dyDescent="0.25">
      <c r="A500">
        <v>1526</v>
      </c>
      <c r="B500" t="s">
        <v>550</v>
      </c>
      <c r="C500" t="s">
        <v>27</v>
      </c>
      <c r="D500" t="s">
        <v>55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29</v>
      </c>
      <c r="K500" t="s">
        <v>16</v>
      </c>
      <c r="L500" s="2">
        <v>1177.57</v>
      </c>
      <c r="Y500" s="6">
        <f>VLOOKUP(A496,A$1:$L$601,1,FALSE)</f>
        <v>1522</v>
      </c>
      <c r="Z500" s="6" t="str">
        <f>VLOOKUP(B496,B$1:$L$601,1,FALSE)</f>
        <v>Juan Rogers</v>
      </c>
      <c r="AA500" s="6" t="str">
        <f>VLOOKUP(C496,C$1:$L$601,1,FALSE)</f>
        <v>Accessories</v>
      </c>
      <c r="AB500" s="6" t="str">
        <f>VLOOKUP(D496,D$1:$L$601,1,FALSE)</f>
        <v>Sunglasses</v>
      </c>
      <c r="AC500" s="6">
        <f>VLOOKUP(E496,E$1:$L$601,1,FALSE)</f>
        <v>6</v>
      </c>
      <c r="AD500" s="6">
        <f>VLOOKUP(F496,F$1:$L$601,1,FALSE)</f>
        <v>2706.1301960784322</v>
      </c>
      <c r="AE500" s="6">
        <f>VLOOKUP(G496,G$1:$L$601,1,FALSE)</f>
        <v>0.44</v>
      </c>
      <c r="AF500" s="6">
        <f>VLOOKUP(H496,H$1:$L$601,1,FALSE)</f>
        <v>0</v>
      </c>
      <c r="AG500" s="6">
        <f>VLOOKUP(I496,I$1:$L$601,1,FALSE)</f>
        <v>45503</v>
      </c>
      <c r="AH500" s="6" t="str">
        <f>VLOOKUP(J496,J$1:$L$601,1,FALSE)</f>
        <v>BANGALORE</v>
      </c>
      <c r="AI500" s="6" t="str">
        <f>VLOOKUP(K496,K$1:$L$601,1,FALSE)</f>
        <v>B2B</v>
      </c>
      <c r="AJ500" s="6">
        <f>VLOOKUP(L496,L$1:$L$601,1,FALSE)</f>
        <v>547.09</v>
      </c>
    </row>
    <row r="501" spans="1:36" x14ac:dyDescent="0.25">
      <c r="A501">
        <v>1527</v>
      </c>
      <c r="B501" t="s">
        <v>551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29</v>
      </c>
      <c r="K501" t="s">
        <v>16</v>
      </c>
      <c r="L501" s="2">
        <v>1931.28</v>
      </c>
      <c r="Y501" s="6">
        <f>VLOOKUP(A497,A$1:$L$601,1,FALSE)</f>
        <v>1523</v>
      </c>
      <c r="Z501" s="6" t="str">
        <f>VLOOKUP(B497,B$1:$L$601,1,FALSE)</f>
        <v>Bradley Rogers</v>
      </c>
      <c r="AA501" s="6" t="str">
        <f>VLOOKUP(C497,C$1:$L$601,1,FALSE)</f>
        <v>T-Shirts</v>
      </c>
      <c r="AB501" s="6" t="str">
        <f>VLOOKUP(D497,D$1:$L$601,1,FALSE)</f>
        <v>Oversized T-Shirt</v>
      </c>
      <c r="AC501" s="6">
        <f>VLOOKUP(E497,E$1:$L$601,1,FALSE)</f>
        <v>1.5178571428571428</v>
      </c>
      <c r="AD501" s="6">
        <f>VLOOKUP(F497,F$1:$L$601,1,FALSE)</f>
        <v>2742.2927659574466</v>
      </c>
      <c r="AE501" s="6">
        <f>VLOOKUP(G497,G$1:$L$601,1,FALSE)</f>
        <v>0.13</v>
      </c>
      <c r="AF501" s="6">
        <f>VLOOKUP(H497,H$1:$L$601,1,FALSE)</f>
        <v>0</v>
      </c>
      <c r="AG501" s="6">
        <f>VLOOKUP(I497,I$1:$L$601,1,FALSE)</f>
        <v>45276</v>
      </c>
      <c r="AH501" s="6" t="str">
        <f>VLOOKUP(J497,J$1:$L$601,1,FALSE)</f>
        <v>AHMEDABAD</v>
      </c>
      <c r="AI501" s="6" t="str">
        <f>VLOOKUP(K497,K$1:$L$601,1,FALSE)</f>
        <v>B2B</v>
      </c>
      <c r="AJ501" s="6">
        <f>VLOOKUP(L497,L$1:$L$601,1,FALSE)</f>
        <v>1475.12</v>
      </c>
    </row>
    <row r="502" spans="1:36" x14ac:dyDescent="0.25">
      <c r="A502">
        <v>1529</v>
      </c>
      <c r="B502" t="s">
        <v>552</v>
      </c>
      <c r="C502" t="s">
        <v>36</v>
      </c>
      <c r="D502" t="s">
        <v>71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  <c r="Y502" s="6">
        <f>VLOOKUP(A498,A$1:$L$601,1,FALSE)</f>
        <v>1524</v>
      </c>
      <c r="Z502" s="6" t="str">
        <f>VLOOKUP(B498,B$1:$L$601,1,FALSE)</f>
        <v>Cameron Bowen</v>
      </c>
      <c r="AA502" s="6" t="str">
        <f>VLOOKUP(C498,C$1:$L$601,1,FALSE)</f>
        <v>Dresses</v>
      </c>
      <c r="AB502" s="6" t="str">
        <f>VLOOKUP(D498,D$1:$L$601,1,FALSE)</f>
        <v>Wrap Dress</v>
      </c>
      <c r="AC502" s="6">
        <f>VLOOKUP(E498,E$1:$L$601,1,FALSE)</f>
        <v>2.1864406779661016</v>
      </c>
      <c r="AD502" s="6">
        <f>VLOOKUP(F498,F$1:$L$601,1,FALSE)</f>
        <v>2949.9901960784309</v>
      </c>
      <c r="AE502" s="6">
        <f>VLOOKUP(G498,G$1:$L$601,1,FALSE)</f>
        <v>0.47</v>
      </c>
      <c r="AF502" s="6">
        <f>VLOOKUP(H498,H$1:$L$601,1,FALSE)</f>
        <v>0</v>
      </c>
      <c r="AG502" s="6">
        <f>VLOOKUP(I498,I$1:$L$601,1,FALSE)</f>
        <v>45853</v>
      </c>
      <c r="AH502" s="6" t="str">
        <f>VLOOKUP(J498,J$1:$L$601,1,FALSE)</f>
        <v>HYDERBAD</v>
      </c>
      <c r="AI502" s="6" t="str">
        <f>VLOOKUP(K498,K$1:$L$601,1,FALSE)</f>
        <v>B2C</v>
      </c>
      <c r="AJ502" s="6">
        <f>VLOOKUP(L498,L$1:$L$601,1,FALSE)</f>
        <v>2668.06</v>
      </c>
    </row>
    <row r="503" spans="1:36" x14ac:dyDescent="0.25">
      <c r="A503">
        <v>1530</v>
      </c>
      <c r="B503" t="s">
        <v>553</v>
      </c>
      <c r="C503" t="s">
        <v>21</v>
      </c>
      <c r="D503" t="s">
        <v>87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33</v>
      </c>
      <c r="K503" t="s">
        <v>16</v>
      </c>
      <c r="L503" s="2">
        <v>1451.55</v>
      </c>
      <c r="Y503" s="6">
        <f>VLOOKUP(A499,A$1:$L$601,1,FALSE)</f>
        <v>1525</v>
      </c>
      <c r="Z503" s="6" t="str">
        <f>VLOOKUP(B499,B$1:$L$601,1,FALSE)</f>
        <v>David Morales</v>
      </c>
      <c r="AA503" s="6" t="str">
        <f>VLOOKUP(C499,C$1:$L$601,1,FALSE)</f>
        <v>Accessories</v>
      </c>
      <c r="AB503" s="6" t="str">
        <f>VLOOKUP(D499,D$1:$L$601,1,FALSE)</f>
        <v>Watches</v>
      </c>
      <c r="AC503" s="6">
        <f>VLOOKUP(E499,E$1:$L$601,1,FALSE)</f>
        <v>5</v>
      </c>
      <c r="AD503" s="6">
        <f>VLOOKUP(F499,F$1:$L$601,1,FALSE)</f>
        <v>4591.26</v>
      </c>
      <c r="AE503" s="6">
        <f>VLOOKUP(G499,G$1:$L$601,1,FALSE)</f>
        <v>0.70297297297297334</v>
      </c>
      <c r="AF503" s="6">
        <f>VLOOKUP(H499,H$1:$L$601,1,FALSE)</f>
        <v>0</v>
      </c>
      <c r="AG503" s="6">
        <f>VLOOKUP(I499,I$1:$L$601,1,FALSE)</f>
        <v>45717</v>
      </c>
      <c r="AH503" s="6" t="str">
        <f>VLOOKUP(J499,J$1:$L$601,1,FALSE)</f>
        <v>HYDERBAD</v>
      </c>
      <c r="AI503" s="6" t="str">
        <f>VLOOKUP(K499,K$1:$L$601,1,FALSE)</f>
        <v>B2B</v>
      </c>
      <c r="AJ503" s="6">
        <f>VLOOKUP(L499,L$1:$L$601,1,FALSE)</f>
        <v>-602.79999999999995</v>
      </c>
    </row>
    <row r="504" spans="1:36" x14ac:dyDescent="0.25">
      <c r="A504">
        <v>1531</v>
      </c>
      <c r="B504" t="s">
        <v>554</v>
      </c>
      <c r="C504" t="s">
        <v>13</v>
      </c>
      <c r="D504" t="s">
        <v>101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19</v>
      </c>
      <c r="K504" t="s">
        <v>24</v>
      </c>
      <c r="L504" s="2">
        <v>-173.83</v>
      </c>
      <c r="Y504" s="6">
        <f>VLOOKUP(A500,A$1:$L$601,1,FALSE)</f>
        <v>1526</v>
      </c>
      <c r="Z504" s="6" t="str">
        <f>VLOOKUP(B500,B$1:$L$601,1,FALSE)</f>
        <v>Rachel Rios</v>
      </c>
      <c r="AA504" s="6" t="str">
        <f>VLOOKUP(C500,C$1:$L$601,1,FALSE)</f>
        <v>Shoes</v>
      </c>
      <c r="AB504" s="6" t="str">
        <f>VLOOKUP(D500,D$1:$L$601,1,FALSE)</f>
        <v>Sneakers</v>
      </c>
      <c r="AC504" s="6">
        <f>VLOOKUP(E500,E$1:$L$601,1,FALSE)</f>
        <v>2</v>
      </c>
      <c r="AD504" s="6">
        <f>VLOOKUP(F500,F$1:$L$601,1,FALSE)</f>
        <v>1884.25</v>
      </c>
      <c r="AE504" s="6">
        <f>VLOOKUP(G500,G$1:$L$601,1,FALSE)</f>
        <v>0.59740740740740739</v>
      </c>
      <c r="AF504" s="6">
        <f>VLOOKUP(H500,H$1:$L$601,1,FALSE)</f>
        <v>0</v>
      </c>
      <c r="AG504" s="6">
        <f>VLOOKUP(I500,I$1:$L$601,1,FALSE)</f>
        <v>45576</v>
      </c>
      <c r="AH504" s="6" t="str">
        <f>VLOOKUP(J500,J$1:$L$601,1,FALSE)</f>
        <v>BANGALORE</v>
      </c>
      <c r="AI504" s="6" t="str">
        <f>VLOOKUP(K500,K$1:$L$601,1,FALSE)</f>
        <v>B2C</v>
      </c>
      <c r="AJ504" s="6">
        <f>VLOOKUP(L500,L$1:$L$601,1,FALSE)</f>
        <v>1177.57</v>
      </c>
    </row>
    <row r="505" spans="1:36" x14ac:dyDescent="0.25">
      <c r="A505">
        <v>1532</v>
      </c>
      <c r="B505" t="s">
        <v>555</v>
      </c>
      <c r="C505" t="s">
        <v>36</v>
      </c>
      <c r="D505" t="s">
        <v>46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23</v>
      </c>
      <c r="K505" t="s">
        <v>24</v>
      </c>
      <c r="L505" s="2">
        <v>2512.66</v>
      </c>
      <c r="Y505" s="6">
        <f>VLOOKUP(A501,A$1:$L$601,1,FALSE)</f>
        <v>1527</v>
      </c>
      <c r="Z505" s="6" t="str">
        <f>VLOOKUP(B501,B$1:$L$601,1,FALSE)</f>
        <v>Mary Campos</v>
      </c>
      <c r="AA505" s="6" t="str">
        <f>VLOOKUP(C501,C$1:$L$601,1,FALSE)</f>
        <v>Jeans</v>
      </c>
      <c r="AB505" s="6" t="str">
        <f>VLOOKUP(D501,D$1:$L$601,1,FALSE)</f>
        <v>Slim Fit Jeans</v>
      </c>
      <c r="AC505" s="6">
        <f>VLOOKUP(E501,E$1:$L$601,1,FALSE)</f>
        <v>2.1052631578947367</v>
      </c>
      <c r="AD505" s="6">
        <f>VLOOKUP(F501,F$1:$L$601,1,FALSE)</f>
        <v>3431.26</v>
      </c>
      <c r="AE505" s="6">
        <f>VLOOKUP(G501,G$1:$L$601,1,FALSE)</f>
        <v>0.58977272727272723</v>
      </c>
      <c r="AF505" s="6">
        <f>VLOOKUP(H501,H$1:$L$601,1,FALSE)</f>
        <v>0</v>
      </c>
      <c r="AG505" s="6">
        <f>VLOOKUP(I501,I$1:$L$601,1,FALSE)</f>
        <v>45153</v>
      </c>
      <c r="AH505" s="6" t="str">
        <f>VLOOKUP(J501,J$1:$L$601,1,FALSE)</f>
        <v>BANGALORE</v>
      </c>
      <c r="AI505" s="6" t="str">
        <f>VLOOKUP(K501,K$1:$L$601,1,FALSE)</f>
        <v>B2C</v>
      </c>
      <c r="AJ505" s="6">
        <f>VLOOKUP(L501,L$1:$L$601,1,FALSE)</f>
        <v>1931.28</v>
      </c>
    </row>
    <row r="506" spans="1:36" x14ac:dyDescent="0.25">
      <c r="A506">
        <v>1533</v>
      </c>
      <c r="B506" t="s">
        <v>556</v>
      </c>
      <c r="C506" t="s">
        <v>41</v>
      </c>
      <c r="D506" t="s">
        <v>90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23</v>
      </c>
      <c r="K506" t="s">
        <v>16</v>
      </c>
      <c r="L506" s="2">
        <v>-759.07</v>
      </c>
      <c r="Y506" s="6">
        <f>VLOOKUP(A502,A$1:$L$601,1,FALSE)</f>
        <v>1529</v>
      </c>
      <c r="Z506" s="6" t="str">
        <f>VLOOKUP(B502,B$1:$L$601,1,FALSE)</f>
        <v>John Robinson</v>
      </c>
      <c r="AA506" s="6" t="str">
        <f>VLOOKUP(C502,C$1:$L$601,1,FALSE)</f>
        <v>T-Shirts</v>
      </c>
      <c r="AB506" s="6" t="str">
        <f>VLOOKUP(D502,D$1:$L$601,1,FALSE)</f>
        <v>Classic Tee</v>
      </c>
      <c r="AC506" s="6">
        <f>VLOOKUP(E502,E$1:$L$601,1,FALSE)</f>
        <v>1.5178571428571428</v>
      </c>
      <c r="AD506" s="6">
        <f>VLOOKUP(F502,F$1:$L$601,1,FALSE)</f>
        <v>3381.7</v>
      </c>
      <c r="AE506" s="6">
        <f>VLOOKUP(G502,G$1:$L$601,1,FALSE)</f>
        <v>0.65787878787878773</v>
      </c>
      <c r="AF506" s="6">
        <f>VLOOKUP(H502,H$1:$L$601,1,FALSE)</f>
        <v>0</v>
      </c>
      <c r="AG506" s="6">
        <f>VLOOKUP(I502,I$1:$L$601,1,FALSE)</f>
        <v>45734</v>
      </c>
      <c r="AH506" s="6" t="str">
        <f>VLOOKUP(J502,J$1:$L$601,1,FALSE)</f>
        <v>DELHI</v>
      </c>
      <c r="AI506" s="6" t="str">
        <f>VLOOKUP(K502,K$1:$L$601,1,FALSE)</f>
        <v>B2C</v>
      </c>
      <c r="AJ506" s="6">
        <f>VLOOKUP(L502,L$1:$L$601,1,FALSE)</f>
        <v>2953.76</v>
      </c>
    </row>
    <row r="507" spans="1:36" x14ac:dyDescent="0.25">
      <c r="A507">
        <v>1534</v>
      </c>
      <c r="B507" t="s">
        <v>557</v>
      </c>
      <c r="C507" t="s">
        <v>36</v>
      </c>
      <c r="D507" t="s">
        <v>81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24</v>
      </c>
      <c r="L507" s="2">
        <v>-836.06</v>
      </c>
      <c r="Y507" s="6">
        <f>VLOOKUP(A503,A$1:$L$601,1,FALSE)</f>
        <v>1530</v>
      </c>
      <c r="Z507" s="6" t="str">
        <f>VLOOKUP(B503,B$1:$L$601,1,FALSE)</f>
        <v>Michael Erickson</v>
      </c>
      <c r="AA507" s="6" t="str">
        <f>VLOOKUP(C503,C$1:$L$601,1,FALSE)</f>
        <v>Jackets</v>
      </c>
      <c r="AB507" s="6" t="str">
        <f>VLOOKUP(D503,D$1:$L$601,1,FALSE)</f>
        <v>Denim Jacket</v>
      </c>
      <c r="AC507" s="6">
        <f>VLOOKUP(E503,E$1:$L$601,1,FALSE)</f>
        <v>6</v>
      </c>
      <c r="AD507" s="6">
        <f>VLOOKUP(F503,F$1:$L$601,1,FALSE)</f>
        <v>2811.5702272727276</v>
      </c>
      <c r="AE507" s="6">
        <f>VLOOKUP(G503,G$1:$L$601,1,FALSE)</f>
        <v>0.69969696969696993</v>
      </c>
      <c r="AF507" s="6">
        <f>VLOOKUP(H503,H$1:$L$601,1,FALSE)</f>
        <v>0</v>
      </c>
      <c r="AG507" s="6">
        <f>VLOOKUP(I503,I$1:$L$601,1,FALSE)</f>
        <v>45565</v>
      </c>
      <c r="AH507" s="6" t="str">
        <f>VLOOKUP(J503,J$1:$L$601,1,FALSE)</f>
        <v>HYDERBAD</v>
      </c>
      <c r="AI507" s="6" t="str">
        <f>VLOOKUP(K503,K$1:$L$601,1,FALSE)</f>
        <v>B2C</v>
      </c>
      <c r="AJ507" s="6">
        <f>VLOOKUP(L503,L$1:$L$601,1,FALSE)</f>
        <v>1451.55</v>
      </c>
    </row>
    <row r="508" spans="1:36" x14ac:dyDescent="0.25">
      <c r="A508">
        <v>1535</v>
      </c>
      <c r="B508" t="s">
        <v>558</v>
      </c>
      <c r="C508" t="s">
        <v>31</v>
      </c>
      <c r="D508" t="s">
        <v>140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29</v>
      </c>
      <c r="K508" t="s">
        <v>16</v>
      </c>
      <c r="L508" s="2">
        <v>1359.17</v>
      </c>
      <c r="Y508" s="6">
        <f>VLOOKUP(A504,A$1:$L$601,1,FALSE)</f>
        <v>1531</v>
      </c>
      <c r="Z508" s="6" t="str">
        <f>VLOOKUP(B504,B$1:$L$601,1,FALSE)</f>
        <v>Yesenia Thompson</v>
      </c>
      <c r="AA508" s="6" t="str">
        <f>VLOOKUP(C504,C$1:$L$601,1,FALSE)</f>
        <v>Jeans</v>
      </c>
      <c r="AB508" s="6" t="str">
        <f>VLOOKUP(D504,D$1:$L$601,1,FALSE)</f>
        <v>Ripped Denim</v>
      </c>
      <c r="AC508" s="6">
        <f>VLOOKUP(E504,E$1:$L$601,1,FALSE)</f>
        <v>2.1052631578947367</v>
      </c>
      <c r="AD508" s="6">
        <f>VLOOKUP(F504,F$1:$L$601,1,FALSE)</f>
        <v>2676.4254237288142</v>
      </c>
      <c r="AE508" s="6">
        <f>VLOOKUP(G504,G$1:$L$601,1,FALSE)</f>
        <v>0.37</v>
      </c>
      <c r="AF508" s="6">
        <f>VLOOKUP(H504,H$1:$L$601,1,FALSE)</f>
        <v>0</v>
      </c>
      <c r="AG508" s="6">
        <f>VLOOKUP(I504,I$1:$L$601,1,FALSE)</f>
        <v>45967</v>
      </c>
      <c r="AH508" s="6" t="str">
        <f>VLOOKUP(J504,J$1:$L$601,1,FALSE)</f>
        <v>AHMEDABAD</v>
      </c>
      <c r="AI508" s="6" t="str">
        <f>VLOOKUP(K504,K$1:$L$601,1,FALSE)</f>
        <v>B2B</v>
      </c>
      <c r="AJ508" s="6">
        <f>VLOOKUP(L504,L$1:$L$601,1,FALSE)</f>
        <v>-173.83</v>
      </c>
    </row>
    <row r="509" spans="1:36" x14ac:dyDescent="0.25">
      <c r="A509">
        <v>1536</v>
      </c>
      <c r="B509" t="s">
        <v>559</v>
      </c>
      <c r="C509" t="s">
        <v>41</v>
      </c>
      <c r="D509" t="s">
        <v>90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24</v>
      </c>
      <c r="L509" s="2">
        <v>1966.62</v>
      </c>
      <c r="Y509" s="6">
        <f>VLOOKUP(A505,A$1:$L$601,1,FALSE)</f>
        <v>1532</v>
      </c>
      <c r="Z509" s="6" t="str">
        <f>VLOOKUP(B505,B$1:$L$601,1,FALSE)</f>
        <v>Teresa Davis</v>
      </c>
      <c r="AA509" s="6" t="str">
        <f>VLOOKUP(C505,C$1:$L$601,1,FALSE)</f>
        <v>T-Shirts</v>
      </c>
      <c r="AB509" s="6" t="str">
        <f>VLOOKUP(D505,D$1:$L$601,1,FALSE)</f>
        <v>Oversized T-Shirt</v>
      </c>
      <c r="AC509" s="6">
        <f>VLOOKUP(E505,E$1:$L$601,1,FALSE)</f>
        <v>1.5178571428571428</v>
      </c>
      <c r="AD509" s="6">
        <f>VLOOKUP(F505,F$1:$L$601,1,FALSE)</f>
        <v>2742.2927659574466</v>
      </c>
      <c r="AE509" s="6">
        <f>VLOOKUP(G505,G$1:$L$601,1,FALSE)</f>
        <v>0.33</v>
      </c>
      <c r="AF509" s="6">
        <f>VLOOKUP(H505,H$1:$L$601,1,FALSE)</f>
        <v>0</v>
      </c>
      <c r="AG509" s="6">
        <f>VLOOKUP(I505,I$1:$L$601,1,FALSE)</f>
        <v>45167</v>
      </c>
      <c r="AH509" s="6" t="str">
        <f>VLOOKUP(J505,J$1:$L$601,1,FALSE)</f>
        <v>MUMBAI</v>
      </c>
      <c r="AI509" s="6" t="str">
        <f>VLOOKUP(K505,K$1:$L$601,1,FALSE)</f>
        <v>B2B</v>
      </c>
      <c r="AJ509" s="6">
        <f>VLOOKUP(L505,L$1:$L$601,1,FALSE)</f>
        <v>2512.66</v>
      </c>
    </row>
    <row r="510" spans="1:36" x14ac:dyDescent="0.25">
      <c r="A510">
        <v>1537</v>
      </c>
      <c r="B510" t="s">
        <v>560</v>
      </c>
      <c r="C510" t="s">
        <v>13</v>
      </c>
      <c r="D510" t="s">
        <v>101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29</v>
      </c>
      <c r="K510" t="s">
        <v>16</v>
      </c>
      <c r="L510" s="2">
        <v>68.260000000000005</v>
      </c>
      <c r="Y510" s="6">
        <f>VLOOKUP(A506,A$1:$L$601,1,FALSE)</f>
        <v>1533</v>
      </c>
      <c r="Z510" s="6" t="str">
        <f>VLOOKUP(B506,B$1:$L$601,1,FALSE)</f>
        <v>Mark Reed</v>
      </c>
      <c r="AA510" s="6" t="str">
        <f>VLOOKUP(C506,C$1:$L$601,1,FALSE)</f>
        <v>Dresses</v>
      </c>
      <c r="AB510" s="6" t="str">
        <f>VLOOKUP(D506,D$1:$L$601,1,FALSE)</f>
        <v>Bodycon</v>
      </c>
      <c r="AC510" s="6">
        <f>VLOOKUP(E506,E$1:$L$601,1,FALSE)</f>
        <v>2.1864406779661016</v>
      </c>
      <c r="AD510" s="6">
        <f>VLOOKUP(F506,F$1:$L$601,1,FALSE)</f>
        <v>3965.94</v>
      </c>
      <c r="AE510" s="6">
        <f>VLOOKUP(G506,G$1:$L$601,1,FALSE)</f>
        <v>0.55000000000000004</v>
      </c>
      <c r="AF510" s="6">
        <f>VLOOKUP(H506,H$1:$L$601,1,FALSE)</f>
        <v>0</v>
      </c>
      <c r="AG510" s="6">
        <f>VLOOKUP(I506,I$1:$L$601,1,FALSE)</f>
        <v>45608</v>
      </c>
      <c r="AH510" s="6" t="str">
        <f>VLOOKUP(J506,J$1:$L$601,1,FALSE)</f>
        <v>MUMBAI</v>
      </c>
      <c r="AI510" s="6" t="str">
        <f>VLOOKUP(K506,K$1:$L$601,1,FALSE)</f>
        <v>B2C</v>
      </c>
      <c r="AJ510" s="6">
        <f>VLOOKUP(L506,L$1:$L$601,1,FALSE)</f>
        <v>-759.07</v>
      </c>
    </row>
    <row r="511" spans="1:36" x14ac:dyDescent="0.25">
      <c r="A511">
        <v>1538</v>
      </c>
      <c r="B511" t="s">
        <v>561</v>
      </c>
      <c r="C511" t="s">
        <v>41</v>
      </c>
      <c r="D511" t="s">
        <v>90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19</v>
      </c>
      <c r="K511" t="s">
        <v>24</v>
      </c>
      <c r="L511" s="2">
        <v>-956.8</v>
      </c>
      <c r="Y511" s="6">
        <f>VLOOKUP(A507,A$1:$L$601,1,FALSE)</f>
        <v>1534</v>
      </c>
      <c r="Z511" s="6" t="str">
        <f>VLOOKUP(B507,B$1:$L$601,1,FALSE)</f>
        <v>Colin Lewis</v>
      </c>
      <c r="AA511" s="6" t="str">
        <f>VLOOKUP(C507,C$1:$L$601,1,FALSE)</f>
        <v>T-Shirts</v>
      </c>
      <c r="AB511" s="6" t="str">
        <f>VLOOKUP(D507,D$1:$L$601,1,FALSE)</f>
        <v>Graphic Tee</v>
      </c>
      <c r="AC511" s="6">
        <f>VLOOKUP(E507,E$1:$L$601,1,FALSE)</f>
        <v>1.5178571428571428</v>
      </c>
      <c r="AD511" s="6">
        <f>VLOOKUP(F507,F$1:$L$601,1,FALSE)</f>
        <v>2742.2927659574466</v>
      </c>
      <c r="AE511" s="6">
        <f>VLOOKUP(G507,G$1:$L$601,1,FALSE)</f>
        <v>0.65787878787878773</v>
      </c>
      <c r="AF511" s="6">
        <f>VLOOKUP(H507,H$1:$L$601,1,FALSE)</f>
        <v>0</v>
      </c>
      <c r="AG511" s="6">
        <f>VLOOKUP(I507,I$1:$L$601,1,FALSE)</f>
        <v>45772</v>
      </c>
      <c r="AH511" s="6" t="str">
        <f>VLOOKUP(J507,J$1:$L$601,1,FALSE)</f>
        <v>DELHI</v>
      </c>
      <c r="AI511" s="6" t="str">
        <f>VLOOKUP(K507,K$1:$L$601,1,FALSE)</f>
        <v>B2B</v>
      </c>
      <c r="AJ511" s="6">
        <f>VLOOKUP(L507,L$1:$L$601,1,FALSE)</f>
        <v>-836.06</v>
      </c>
    </row>
    <row r="512" spans="1:36" x14ac:dyDescent="0.25">
      <c r="A512">
        <v>1539</v>
      </c>
      <c r="B512" t="s">
        <v>562</v>
      </c>
      <c r="C512" t="s">
        <v>13</v>
      </c>
      <c r="D512" t="s">
        <v>51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23</v>
      </c>
      <c r="K512" t="s">
        <v>16</v>
      </c>
      <c r="L512" s="2">
        <v>2309.23</v>
      </c>
      <c r="Y512" s="6">
        <f>VLOOKUP(A508,A$1:$L$601,1,FALSE)</f>
        <v>1535</v>
      </c>
      <c r="Z512" s="6" t="str">
        <f>VLOOKUP(B508,B$1:$L$601,1,FALSE)</f>
        <v>Austin Barrett</v>
      </c>
      <c r="AA512" s="6" t="str">
        <f>VLOOKUP(C508,C$1:$L$601,1,FALSE)</f>
        <v>Accessories</v>
      </c>
      <c r="AB512" s="6" t="str">
        <f>VLOOKUP(D508,D$1:$L$601,1,FALSE)</f>
        <v>Caps</v>
      </c>
      <c r="AC512" s="6">
        <f>VLOOKUP(E508,E$1:$L$601,1,FALSE)</f>
        <v>2.4893617021276597</v>
      </c>
      <c r="AD512" s="6">
        <f>VLOOKUP(F508,F$1:$L$601,1,FALSE)</f>
        <v>720.35</v>
      </c>
      <c r="AE512" s="6">
        <f>VLOOKUP(G508,G$1:$L$601,1,FALSE)</f>
        <v>0.70297297297297334</v>
      </c>
      <c r="AF512" s="6">
        <f>VLOOKUP(H508,H$1:$L$601,1,FALSE)</f>
        <v>0</v>
      </c>
      <c r="AG512" s="6">
        <f>VLOOKUP(I508,I$1:$L$601,1,FALSE)</f>
        <v>45282</v>
      </c>
      <c r="AH512" s="6" t="str">
        <f>VLOOKUP(J508,J$1:$L$601,1,FALSE)</f>
        <v>BANGALORE</v>
      </c>
      <c r="AI512" s="6" t="str">
        <f>VLOOKUP(K508,K$1:$L$601,1,FALSE)</f>
        <v>B2C</v>
      </c>
      <c r="AJ512" s="6">
        <f>VLOOKUP(L508,L$1:$L$601,1,FALSE)</f>
        <v>1359.17</v>
      </c>
    </row>
    <row r="513" spans="1:36" x14ac:dyDescent="0.25">
      <c r="A513">
        <v>1540</v>
      </c>
      <c r="B513" t="s">
        <v>563</v>
      </c>
      <c r="C513" t="s">
        <v>21</v>
      </c>
      <c r="D513" t="s">
        <v>22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19</v>
      </c>
      <c r="K513" t="s">
        <v>16</v>
      </c>
      <c r="L513" s="2">
        <v>815.28</v>
      </c>
      <c r="Y513" s="6">
        <f>VLOOKUP(A509,A$1:$L$601,1,FALSE)</f>
        <v>1536</v>
      </c>
      <c r="Z513" s="6" t="str">
        <f>VLOOKUP(B509,B$1:$L$601,1,FALSE)</f>
        <v>Mark Compton</v>
      </c>
      <c r="AA513" s="6" t="str">
        <f>VLOOKUP(C509,C$1:$L$601,1,FALSE)</f>
        <v>Dresses</v>
      </c>
      <c r="AB513" s="6" t="str">
        <f>VLOOKUP(D509,D$1:$L$601,1,FALSE)</f>
        <v>Bodycon</v>
      </c>
      <c r="AC513" s="6">
        <f>VLOOKUP(E509,E$1:$L$601,1,FALSE)</f>
        <v>1</v>
      </c>
      <c r="AD513" s="6">
        <f>VLOOKUP(F509,F$1:$L$601,1,FALSE)</f>
        <v>2949.9901960784309</v>
      </c>
      <c r="AE513" s="6">
        <f>VLOOKUP(G509,G$1:$L$601,1,FALSE)</f>
        <v>0.55000000000000004</v>
      </c>
      <c r="AF513" s="6">
        <f>VLOOKUP(H509,H$1:$L$601,1,FALSE)</f>
        <v>0</v>
      </c>
      <c r="AG513" s="6">
        <f>VLOOKUP(I509,I$1:$L$601,1,FALSE)</f>
        <v>45790</v>
      </c>
      <c r="AH513" s="6" t="str">
        <f>VLOOKUP(J509,J$1:$L$601,1,FALSE)</f>
        <v>DELHI</v>
      </c>
      <c r="AI513" s="6" t="str">
        <f>VLOOKUP(K509,K$1:$L$601,1,FALSE)</f>
        <v>B2B</v>
      </c>
      <c r="AJ513" s="6">
        <f>VLOOKUP(L509,L$1:$L$601,1,FALSE)</f>
        <v>1966.62</v>
      </c>
    </row>
    <row r="514" spans="1:36" x14ac:dyDescent="0.25">
      <c r="A514">
        <v>1541</v>
      </c>
      <c r="B514" t="s">
        <v>564</v>
      </c>
      <c r="C514" t="s">
        <v>31</v>
      </c>
      <c r="D514" t="s">
        <v>140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23</v>
      </c>
      <c r="K514" t="s">
        <v>16</v>
      </c>
      <c r="L514" s="2">
        <v>-530.72</v>
      </c>
      <c r="Y514" s="6">
        <f>VLOOKUP(A510,A$1:$L$601,1,FALSE)</f>
        <v>1537</v>
      </c>
      <c r="Z514" s="6" t="str">
        <f>VLOOKUP(B510,B$1:$L$601,1,FALSE)</f>
        <v>Jonathan Holmes</v>
      </c>
      <c r="AA514" s="6" t="str">
        <f>VLOOKUP(C510,C$1:$L$601,1,FALSE)</f>
        <v>Jeans</v>
      </c>
      <c r="AB514" s="6" t="str">
        <f>VLOOKUP(D510,D$1:$L$601,1,FALSE)</f>
        <v>Ripped Denim</v>
      </c>
      <c r="AC514" s="6">
        <f>VLOOKUP(E510,E$1:$L$601,1,FALSE)</f>
        <v>1.5178571428571428</v>
      </c>
      <c r="AD514" s="6">
        <f>VLOOKUP(F510,F$1:$L$601,1,FALSE)</f>
        <v>2676.4254237288142</v>
      </c>
      <c r="AE514" s="6">
        <f>VLOOKUP(G510,G$1:$L$601,1,FALSE)</f>
        <v>0.9</v>
      </c>
      <c r="AF514" s="6">
        <f>VLOOKUP(H510,H$1:$L$601,1,FALSE)</f>
        <v>0</v>
      </c>
      <c r="AG514" s="6">
        <f>VLOOKUP(I510,I$1:$L$601,1,FALSE)</f>
        <v>45626.838268792708</v>
      </c>
      <c r="AH514" s="6" t="str">
        <f>VLOOKUP(J510,J$1:$L$601,1,FALSE)</f>
        <v>BANGALORE</v>
      </c>
      <c r="AI514" s="6" t="str">
        <f>VLOOKUP(K510,K$1:$L$601,1,FALSE)</f>
        <v>B2C</v>
      </c>
      <c r="AJ514" s="6">
        <f>VLOOKUP(L510,L$1:$L$601,1,FALSE)</f>
        <v>68.260000000000005</v>
      </c>
    </row>
    <row r="515" spans="1:36" x14ac:dyDescent="0.25">
      <c r="A515">
        <v>1542</v>
      </c>
      <c r="B515" t="s">
        <v>565</v>
      </c>
      <c r="C515" t="s">
        <v>21</v>
      </c>
      <c r="D515" t="s">
        <v>79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48</v>
      </c>
      <c r="K515" t="s">
        <v>16</v>
      </c>
      <c r="L515" s="2">
        <v>-798.37</v>
      </c>
      <c r="Y515" s="6">
        <f>VLOOKUP(A511,A$1:$L$601,1,FALSE)</f>
        <v>1538</v>
      </c>
      <c r="Z515" s="6" t="str">
        <f>VLOOKUP(B511,B$1:$L$601,1,FALSE)</f>
        <v>Sabrina Barnett</v>
      </c>
      <c r="AA515" s="6" t="str">
        <f>VLOOKUP(C511,C$1:$L$601,1,FALSE)</f>
        <v>Dresses</v>
      </c>
      <c r="AB515" s="6" t="str">
        <f>VLOOKUP(D511,D$1:$L$601,1,FALSE)</f>
        <v>Bodycon</v>
      </c>
      <c r="AC515" s="6">
        <f>VLOOKUP(E511,E$1:$L$601,1,FALSE)</f>
        <v>2.1864406779661016</v>
      </c>
      <c r="AD515" s="6">
        <f>VLOOKUP(F511,F$1:$L$601,1,FALSE)</f>
        <v>4767.6099999999997</v>
      </c>
      <c r="AE515" s="6">
        <f>VLOOKUP(G511,G$1:$L$601,1,FALSE)</f>
        <v>0.01</v>
      </c>
      <c r="AF515" s="6">
        <f>VLOOKUP(H511,H$1:$L$601,1,FALSE)</f>
        <v>0</v>
      </c>
      <c r="AG515" s="6">
        <f>VLOOKUP(I511,I$1:$L$601,1,FALSE)</f>
        <v>45626.838268792708</v>
      </c>
      <c r="AH515" s="6" t="str">
        <f>VLOOKUP(J511,J$1:$L$601,1,FALSE)</f>
        <v>AHMEDABAD</v>
      </c>
      <c r="AI515" s="6" t="str">
        <f>VLOOKUP(K511,K$1:$L$601,1,FALSE)</f>
        <v>B2B</v>
      </c>
      <c r="AJ515" s="6">
        <f>VLOOKUP(L511,L$1:$L$601,1,FALSE)</f>
        <v>-956.8</v>
      </c>
    </row>
    <row r="516" spans="1:36" x14ac:dyDescent="0.25">
      <c r="A516">
        <v>1543</v>
      </c>
      <c r="B516" t="s">
        <v>566</v>
      </c>
      <c r="C516" t="s">
        <v>41</v>
      </c>
      <c r="D516" t="s">
        <v>90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19</v>
      </c>
      <c r="K516" t="s">
        <v>24</v>
      </c>
      <c r="L516" s="2">
        <v>1884.06</v>
      </c>
      <c r="Y516" s="6">
        <f>VLOOKUP(A512,A$1:$L$601,1,FALSE)</f>
        <v>1539</v>
      </c>
      <c r="Z516" s="6" t="str">
        <f>VLOOKUP(B512,B$1:$L$601,1,FALSE)</f>
        <v>Sheryl Davis</v>
      </c>
      <c r="AA516" s="6" t="str">
        <f>VLOOKUP(C512,C$1:$L$601,1,FALSE)</f>
        <v>Jeans</v>
      </c>
      <c r="AB516" s="6" t="str">
        <f>VLOOKUP(D512,D$1:$L$601,1,FALSE)</f>
        <v>Straight Cut</v>
      </c>
      <c r="AC516" s="6">
        <f>VLOOKUP(E512,E$1:$L$601,1,FALSE)</f>
        <v>2.1052631578947367</v>
      </c>
      <c r="AD516" s="6">
        <f>VLOOKUP(F512,F$1:$L$601,1,FALSE)</f>
        <v>2891.64</v>
      </c>
      <c r="AE516" s="6">
        <f>VLOOKUP(G512,G$1:$L$601,1,FALSE)</f>
        <v>0.58977272727272723</v>
      </c>
      <c r="AF516" s="6">
        <f>VLOOKUP(H512,H$1:$L$601,1,FALSE)</f>
        <v>0</v>
      </c>
      <c r="AG516" s="6">
        <f>VLOOKUP(I512,I$1:$L$601,1,FALSE)</f>
        <v>45626.838268792708</v>
      </c>
      <c r="AH516" s="6" t="str">
        <f>VLOOKUP(J512,J$1:$L$601,1,FALSE)</f>
        <v>MUMBAI</v>
      </c>
      <c r="AI516" s="6" t="str">
        <f>VLOOKUP(K512,K$1:$L$601,1,FALSE)</f>
        <v>B2C</v>
      </c>
      <c r="AJ516" s="6">
        <f>VLOOKUP(L512,L$1:$L$601,1,FALSE)</f>
        <v>2309.23</v>
      </c>
    </row>
    <row r="517" spans="1:36" x14ac:dyDescent="0.25">
      <c r="A517">
        <v>1544</v>
      </c>
      <c r="B517" t="s">
        <v>567</v>
      </c>
      <c r="C517" t="s">
        <v>41</v>
      </c>
      <c r="D517" t="s">
        <v>59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29</v>
      </c>
      <c r="K517" t="s">
        <v>16</v>
      </c>
      <c r="L517" s="2">
        <v>87.47</v>
      </c>
      <c r="Y517" s="6">
        <f>VLOOKUP(A513,A$1:$L$601,1,FALSE)</f>
        <v>1540</v>
      </c>
      <c r="Z517" s="6" t="str">
        <f>VLOOKUP(B513,B$1:$L$601,1,FALSE)</f>
        <v>Kurt Murillo</v>
      </c>
      <c r="AA517" s="6" t="str">
        <f>VLOOKUP(C513,C$1:$L$601,1,FALSE)</f>
        <v>Jackets</v>
      </c>
      <c r="AB517" s="6" t="str">
        <f>VLOOKUP(D513,D$1:$L$601,1,FALSE)</f>
        <v>Puffer Coat</v>
      </c>
      <c r="AC517" s="6">
        <f>VLOOKUP(E513,E$1:$L$601,1,FALSE)</f>
        <v>1.8076923076923077</v>
      </c>
      <c r="AD517" s="6">
        <f>VLOOKUP(F513,F$1:$L$601,1,FALSE)</f>
        <v>2811.5702272727276</v>
      </c>
      <c r="AE517" s="6">
        <f>VLOOKUP(G513,G$1:$L$601,1,FALSE)</f>
        <v>0.69969696969696993</v>
      </c>
      <c r="AF517" s="6">
        <f>VLOOKUP(H513,H$1:$L$601,1,FALSE)</f>
        <v>0</v>
      </c>
      <c r="AG517" s="6">
        <f>VLOOKUP(I513,I$1:$L$601,1,FALSE)</f>
        <v>45663</v>
      </c>
      <c r="AH517" s="6" t="str">
        <f>VLOOKUP(J513,J$1:$L$601,1,FALSE)</f>
        <v>AHMEDABAD</v>
      </c>
      <c r="AI517" s="6" t="str">
        <f>VLOOKUP(K513,K$1:$L$601,1,FALSE)</f>
        <v>B2C</v>
      </c>
      <c r="AJ517" s="6">
        <f>VLOOKUP(L513,L$1:$L$601,1,FALSE)</f>
        <v>815.28</v>
      </c>
    </row>
    <row r="518" spans="1:36" x14ac:dyDescent="0.25">
      <c r="A518">
        <v>1545</v>
      </c>
      <c r="B518" t="s">
        <v>568</v>
      </c>
      <c r="C518" t="s">
        <v>41</v>
      </c>
      <c r="D518" t="s">
        <v>42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33</v>
      </c>
      <c r="K518" t="s">
        <v>24</v>
      </c>
      <c r="L518" s="2">
        <v>2526.29</v>
      </c>
      <c r="Y518" s="6">
        <f>VLOOKUP(A514,A$1:$L$601,1,FALSE)</f>
        <v>1541</v>
      </c>
      <c r="Z518" s="6" t="str">
        <f>VLOOKUP(B514,B$1:$L$601,1,FALSE)</f>
        <v>Michael Hodge</v>
      </c>
      <c r="AA518" s="6" t="str">
        <f>VLOOKUP(C514,C$1:$L$601,1,FALSE)</f>
        <v>Accessories</v>
      </c>
      <c r="AB518" s="6" t="str">
        <f>VLOOKUP(D514,D$1:$L$601,1,FALSE)</f>
        <v>Caps</v>
      </c>
      <c r="AC518" s="6">
        <f>VLOOKUP(E514,E$1:$L$601,1,FALSE)</f>
        <v>2.4893617021276597</v>
      </c>
      <c r="AD518" s="6">
        <f>VLOOKUP(F514,F$1:$L$601,1,FALSE)</f>
        <v>2989.4</v>
      </c>
      <c r="AE518" s="6">
        <f>VLOOKUP(G514,G$1:$L$601,1,FALSE)</f>
        <v>0.70297297297297334</v>
      </c>
      <c r="AF518" s="6">
        <f>VLOOKUP(H514,H$1:$L$601,1,FALSE)</f>
        <v>0</v>
      </c>
      <c r="AG518" s="6">
        <f>VLOOKUP(I514,I$1:$L$601,1,FALSE)</f>
        <v>45745</v>
      </c>
      <c r="AH518" s="6" t="str">
        <f>VLOOKUP(J514,J$1:$L$601,1,FALSE)</f>
        <v>MUMBAI</v>
      </c>
      <c r="AI518" s="6" t="str">
        <f>VLOOKUP(K514,K$1:$L$601,1,FALSE)</f>
        <v>B2C</v>
      </c>
      <c r="AJ518" s="6">
        <f>VLOOKUP(L514,L$1:$L$601,1,FALSE)</f>
        <v>-530.72</v>
      </c>
    </row>
    <row r="519" spans="1:36" x14ac:dyDescent="0.25">
      <c r="A519">
        <v>1546</v>
      </c>
      <c r="B519" t="s">
        <v>569</v>
      </c>
      <c r="C519" t="s">
        <v>36</v>
      </c>
      <c r="D519" t="s">
        <v>46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19</v>
      </c>
      <c r="K519" t="s">
        <v>16</v>
      </c>
      <c r="L519" s="2">
        <v>1978.16</v>
      </c>
      <c r="Y519" s="6">
        <f>VLOOKUP(A515,A$1:$L$601,1,FALSE)</f>
        <v>1542</v>
      </c>
      <c r="Z519" s="6" t="str">
        <f>VLOOKUP(B515,B$1:$L$601,1,FALSE)</f>
        <v>Sarah Welch</v>
      </c>
      <c r="AA519" s="6" t="str">
        <f>VLOOKUP(C515,C$1:$L$601,1,FALSE)</f>
        <v>Jackets</v>
      </c>
      <c r="AB519" s="6" t="str">
        <f>VLOOKUP(D515,D$1:$L$601,1,FALSE)</f>
        <v>Bomber Jacket</v>
      </c>
      <c r="AC519" s="6">
        <f>VLOOKUP(E515,E$1:$L$601,1,FALSE)</f>
        <v>1</v>
      </c>
      <c r="AD519" s="6">
        <f>VLOOKUP(F515,F$1:$L$601,1,FALSE)</f>
        <v>2044.17</v>
      </c>
      <c r="AE519" s="6">
        <f>VLOOKUP(G515,G$1:$L$601,1,FALSE)</f>
        <v>0.69969696969696993</v>
      </c>
      <c r="AF519" s="6">
        <f>VLOOKUP(H515,H$1:$L$601,1,FALSE)</f>
        <v>0</v>
      </c>
      <c r="AG519" s="6">
        <f>VLOOKUP(I515,I$1:$L$601,1,FALSE)</f>
        <v>45626.838268792708</v>
      </c>
      <c r="AH519" s="6" t="str">
        <f>VLOOKUP(J515,J$1:$L$601,1,FALSE)</f>
        <v>PUNE</v>
      </c>
      <c r="AI519" s="6" t="str">
        <f>VLOOKUP(K515,K$1:$L$601,1,FALSE)</f>
        <v>B2C</v>
      </c>
      <c r="AJ519" s="6">
        <f>VLOOKUP(L515,L$1:$L$601,1,FALSE)</f>
        <v>-798.37</v>
      </c>
    </row>
    <row r="520" spans="1:36" x14ac:dyDescent="0.25">
      <c r="A520">
        <v>1547</v>
      </c>
      <c r="B520" t="s">
        <v>570</v>
      </c>
      <c r="C520" t="s">
        <v>41</v>
      </c>
      <c r="D520" t="s">
        <v>59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48</v>
      </c>
      <c r="K520" t="s">
        <v>24</v>
      </c>
      <c r="L520" s="2">
        <v>1018.03</v>
      </c>
      <c r="Y520" s="6">
        <f>VLOOKUP(A516,A$1:$L$601,1,FALSE)</f>
        <v>1543</v>
      </c>
      <c r="Z520" s="6" t="str">
        <f>VLOOKUP(B516,B$1:$L$601,1,FALSE)</f>
        <v>Angela Young</v>
      </c>
      <c r="AA520" s="6" t="str">
        <f>VLOOKUP(C516,C$1:$L$601,1,FALSE)</f>
        <v>Dresses</v>
      </c>
      <c r="AB520" s="6" t="str">
        <f>VLOOKUP(D516,D$1:$L$601,1,FALSE)</f>
        <v>Bodycon</v>
      </c>
      <c r="AC520" s="6">
        <f>VLOOKUP(E516,E$1:$L$601,1,FALSE)</f>
        <v>1</v>
      </c>
      <c r="AD520" s="6">
        <f>VLOOKUP(F516,F$1:$L$601,1,FALSE)</f>
        <v>4440.24</v>
      </c>
      <c r="AE520" s="6">
        <f>VLOOKUP(G516,G$1:$L$601,1,FALSE)</f>
        <v>0.32</v>
      </c>
      <c r="AF520" s="6">
        <f>VLOOKUP(H516,H$1:$L$601,1,FALSE)</f>
        <v>3019.36</v>
      </c>
      <c r="AG520" s="6">
        <f>VLOOKUP(I516,I$1:$L$601,1,FALSE)</f>
        <v>45626.838268792708</v>
      </c>
      <c r="AH520" s="6" t="str">
        <f>VLOOKUP(J516,J$1:$L$601,1,FALSE)</f>
        <v>AHMEDABAD</v>
      </c>
      <c r="AI520" s="6" t="str">
        <f>VLOOKUP(K516,K$1:$L$601,1,FALSE)</f>
        <v>B2B</v>
      </c>
      <c r="AJ520" s="6">
        <f>VLOOKUP(L516,L$1:$L$601,1,FALSE)</f>
        <v>1884.06</v>
      </c>
    </row>
    <row r="521" spans="1:36" x14ac:dyDescent="0.25">
      <c r="A521">
        <v>1548</v>
      </c>
      <c r="B521" t="s">
        <v>571</v>
      </c>
      <c r="C521" t="s">
        <v>21</v>
      </c>
      <c r="D521" t="s">
        <v>79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19</v>
      </c>
      <c r="K521" t="s">
        <v>16</v>
      </c>
      <c r="L521" s="2">
        <v>-701.47</v>
      </c>
      <c r="Y521" s="6">
        <f>VLOOKUP(A517,A$1:$L$601,1,FALSE)</f>
        <v>1544</v>
      </c>
      <c r="Z521" s="6" t="str">
        <f>VLOOKUP(B517,B$1:$L$601,1,FALSE)</f>
        <v>Karen Contreras</v>
      </c>
      <c r="AA521" s="6" t="str">
        <f>VLOOKUP(C517,C$1:$L$601,1,FALSE)</f>
        <v>Dresses</v>
      </c>
      <c r="AB521" s="6" t="str">
        <f>VLOOKUP(D517,D$1:$L$601,1,FALSE)</f>
        <v>Maxi Dress</v>
      </c>
      <c r="AC521" s="6">
        <f>VLOOKUP(E517,E$1:$L$601,1,FALSE)</f>
        <v>6</v>
      </c>
      <c r="AD521" s="6">
        <f>VLOOKUP(F517,F$1:$L$601,1,FALSE)</f>
        <v>2949.9901960784309</v>
      </c>
      <c r="AE521" s="6">
        <f>VLOOKUP(G517,G$1:$L$601,1,FALSE)</f>
        <v>0.55000000000000004</v>
      </c>
      <c r="AF521" s="6">
        <f>VLOOKUP(H517,H$1:$L$601,1,FALSE)</f>
        <v>0</v>
      </c>
      <c r="AG521" s="6">
        <f>VLOOKUP(I517,I$1:$L$601,1,FALSE)</f>
        <v>45626.838268792708</v>
      </c>
      <c r="AH521" s="6" t="str">
        <f>VLOOKUP(J517,J$1:$L$601,1,FALSE)</f>
        <v>BANGALORE</v>
      </c>
      <c r="AI521" s="6" t="str">
        <f>VLOOKUP(K517,K$1:$L$601,1,FALSE)</f>
        <v>B2C</v>
      </c>
      <c r="AJ521" s="6">
        <f>VLOOKUP(L517,L$1:$L$601,1,FALSE)</f>
        <v>87.47</v>
      </c>
    </row>
    <row r="522" spans="1:36" x14ac:dyDescent="0.25">
      <c r="A522">
        <v>1549</v>
      </c>
      <c r="B522" t="s">
        <v>572</v>
      </c>
      <c r="C522" t="s">
        <v>31</v>
      </c>
      <c r="D522" t="s">
        <v>44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29</v>
      </c>
      <c r="K522" t="s">
        <v>16</v>
      </c>
      <c r="L522" s="2">
        <v>256.3</v>
      </c>
      <c r="Y522" s="6">
        <f>VLOOKUP(A518,A$1:$L$601,1,FALSE)</f>
        <v>1545</v>
      </c>
      <c r="Z522" s="6" t="str">
        <f>VLOOKUP(B518,B$1:$L$601,1,FALSE)</f>
        <v>Anthony Stephens</v>
      </c>
      <c r="AA522" s="6" t="str">
        <f>VLOOKUP(C518,C$1:$L$601,1,FALSE)</f>
        <v>Dresses</v>
      </c>
      <c r="AB522" s="6" t="str">
        <f>VLOOKUP(D518,D$1:$L$601,1,FALSE)</f>
        <v>Casual Midi</v>
      </c>
      <c r="AC522" s="6">
        <f>VLOOKUP(E518,E$1:$L$601,1,FALSE)</f>
        <v>1</v>
      </c>
      <c r="AD522" s="6">
        <f>VLOOKUP(F518,F$1:$L$601,1,FALSE)</f>
        <v>2949.9901960784309</v>
      </c>
      <c r="AE522" s="6">
        <f>VLOOKUP(G518,G$1:$L$601,1,FALSE)</f>
        <v>0.55000000000000004</v>
      </c>
      <c r="AF522" s="6">
        <f>VLOOKUP(H518,H$1:$L$601,1,FALSE)</f>
        <v>0</v>
      </c>
      <c r="AG522" s="6">
        <f>VLOOKUP(I518,I$1:$L$601,1,FALSE)</f>
        <v>45827</v>
      </c>
      <c r="AH522" s="6" t="str">
        <f>VLOOKUP(J518,J$1:$L$601,1,FALSE)</f>
        <v>HYDERBAD</v>
      </c>
      <c r="AI522" s="6" t="str">
        <f>VLOOKUP(K518,K$1:$L$601,1,FALSE)</f>
        <v>B2B</v>
      </c>
      <c r="AJ522" s="6">
        <f>VLOOKUP(L518,L$1:$L$601,1,FALSE)</f>
        <v>2526.29</v>
      </c>
    </row>
    <row r="523" spans="1:36" x14ac:dyDescent="0.25">
      <c r="A523">
        <v>1550</v>
      </c>
      <c r="B523" t="s">
        <v>573</v>
      </c>
      <c r="C523" t="s">
        <v>21</v>
      </c>
      <c r="D523" t="s">
        <v>121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48</v>
      </c>
      <c r="K523" t="s">
        <v>16</v>
      </c>
      <c r="L523" s="2">
        <v>2195.27</v>
      </c>
      <c r="Y523" s="6">
        <f>VLOOKUP(A519,A$1:$L$601,1,FALSE)</f>
        <v>1546</v>
      </c>
      <c r="Z523" s="6" t="str">
        <f>VLOOKUP(B519,B$1:$L$601,1,FALSE)</f>
        <v>Daniel Brady</v>
      </c>
      <c r="AA523" s="6" t="str">
        <f>VLOOKUP(C519,C$1:$L$601,1,FALSE)</f>
        <v>T-Shirts</v>
      </c>
      <c r="AB523" s="6" t="str">
        <f>VLOOKUP(D519,D$1:$L$601,1,FALSE)</f>
        <v>Oversized T-Shirt</v>
      </c>
      <c r="AC523" s="6">
        <f>VLOOKUP(E519,E$1:$L$601,1,FALSE)</f>
        <v>1.5178571428571428</v>
      </c>
      <c r="AD523" s="6">
        <f>VLOOKUP(F519,F$1:$L$601,1,FALSE)</f>
        <v>2742.2927659574466</v>
      </c>
      <c r="AE523" s="6">
        <f>VLOOKUP(G519,G$1:$L$601,1,FALSE)</f>
        <v>0.65787878787878773</v>
      </c>
      <c r="AF523" s="6">
        <f>VLOOKUP(H519,H$1:$L$601,1,FALSE)</f>
        <v>0</v>
      </c>
      <c r="AG523" s="6">
        <f>VLOOKUP(I519,I$1:$L$601,1,FALSE)</f>
        <v>45360</v>
      </c>
      <c r="AH523" s="6" t="str">
        <f>VLOOKUP(J519,J$1:$L$601,1,FALSE)</f>
        <v>AHMEDABAD</v>
      </c>
      <c r="AI523" s="6" t="str">
        <f>VLOOKUP(K519,K$1:$L$601,1,FALSE)</f>
        <v>B2C</v>
      </c>
      <c r="AJ523" s="6">
        <f>VLOOKUP(L519,L$1:$L$601,1,FALSE)</f>
        <v>1978.16</v>
      </c>
    </row>
    <row r="524" spans="1:36" x14ac:dyDescent="0.25">
      <c r="A524">
        <v>1551</v>
      </c>
      <c r="B524" t="s">
        <v>574</v>
      </c>
      <c r="C524" t="s">
        <v>21</v>
      </c>
      <c r="D524" t="s">
        <v>121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23</v>
      </c>
      <c r="K524" t="s">
        <v>16</v>
      </c>
      <c r="L524" s="2">
        <v>2293.08</v>
      </c>
      <c r="Y524" s="6">
        <f>VLOOKUP(A520,A$1:$L$601,1,FALSE)</f>
        <v>1547</v>
      </c>
      <c r="Z524" s="6" t="str">
        <f>VLOOKUP(B520,B$1:$L$601,1,FALSE)</f>
        <v>Carlos Rogers</v>
      </c>
      <c r="AA524" s="6" t="str">
        <f>VLOOKUP(C520,C$1:$L$601,1,FALSE)</f>
        <v>Dresses</v>
      </c>
      <c r="AB524" s="6" t="str">
        <f>VLOOKUP(D520,D$1:$L$601,1,FALSE)</f>
        <v>Maxi Dress</v>
      </c>
      <c r="AC524" s="6">
        <f>VLOOKUP(E520,E$1:$L$601,1,FALSE)</f>
        <v>6</v>
      </c>
      <c r="AD524" s="6">
        <f>VLOOKUP(F520,F$1:$L$601,1,FALSE)</f>
        <v>2949.9901960784309</v>
      </c>
      <c r="AE524" s="6">
        <f>VLOOKUP(G520,G$1:$L$601,1,FALSE)</f>
        <v>0.95</v>
      </c>
      <c r="AF524" s="6">
        <f>VLOOKUP(H520,H$1:$L$601,1,FALSE)</f>
        <v>0</v>
      </c>
      <c r="AG524" s="6">
        <f>VLOOKUP(I520,I$1:$L$601,1,FALSE)</f>
        <v>45792</v>
      </c>
      <c r="AH524" s="6" t="str">
        <f>VLOOKUP(J520,J$1:$L$601,1,FALSE)</f>
        <v>PUNE</v>
      </c>
      <c r="AI524" s="6" t="str">
        <f>VLOOKUP(K520,K$1:$L$601,1,FALSE)</f>
        <v>B2B</v>
      </c>
      <c r="AJ524" s="6">
        <f>VLOOKUP(L520,L$1:$L$601,1,FALSE)</f>
        <v>1018.03</v>
      </c>
    </row>
    <row r="525" spans="1:36" x14ac:dyDescent="0.25">
      <c r="A525">
        <v>1552</v>
      </c>
      <c r="B525" t="s">
        <v>575</v>
      </c>
      <c r="C525" t="s">
        <v>27</v>
      </c>
      <c r="D525" t="s">
        <v>65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19</v>
      </c>
      <c r="K525" t="s">
        <v>16</v>
      </c>
      <c r="L525" s="2">
        <v>-572.62</v>
      </c>
      <c r="Y525" s="6">
        <f>VLOOKUP(A521,A$1:$L$601,1,FALSE)</f>
        <v>1548</v>
      </c>
      <c r="Z525" s="6" t="str">
        <f>VLOOKUP(B521,B$1:$L$601,1,FALSE)</f>
        <v>David Garcia</v>
      </c>
      <c r="AA525" s="6" t="str">
        <f>VLOOKUP(C521,C$1:$L$601,1,FALSE)</f>
        <v>Jackets</v>
      </c>
      <c r="AB525" s="6" t="str">
        <f>VLOOKUP(D521,D$1:$L$601,1,FALSE)</f>
        <v>Bomber Jacket</v>
      </c>
      <c r="AC525" s="6">
        <f>VLOOKUP(E521,E$1:$L$601,1,FALSE)</f>
        <v>1.8076923076923077</v>
      </c>
      <c r="AD525" s="6">
        <f>VLOOKUP(F521,F$1:$L$601,1,FALSE)</f>
        <v>2273.15</v>
      </c>
      <c r="AE525" s="6">
        <f>VLOOKUP(G521,G$1:$L$601,1,FALSE)</f>
        <v>0.69969696969696993</v>
      </c>
      <c r="AF525" s="6">
        <f>VLOOKUP(H521,H$1:$L$601,1,FALSE)</f>
        <v>0</v>
      </c>
      <c r="AG525" s="6">
        <f>VLOOKUP(I521,I$1:$L$601,1,FALSE)</f>
        <v>45626.838268792708</v>
      </c>
      <c r="AH525" s="6" t="str">
        <f>VLOOKUP(J521,J$1:$L$601,1,FALSE)</f>
        <v>AHMEDABAD</v>
      </c>
      <c r="AI525" s="6" t="str">
        <f>VLOOKUP(K521,K$1:$L$601,1,FALSE)</f>
        <v>B2C</v>
      </c>
      <c r="AJ525" s="6">
        <f>VLOOKUP(L521,L$1:$L$601,1,FALSE)</f>
        <v>-701.47</v>
      </c>
    </row>
    <row r="526" spans="1:36" x14ac:dyDescent="0.25">
      <c r="A526">
        <v>1553</v>
      </c>
      <c r="B526" t="s">
        <v>576</v>
      </c>
      <c r="C526" t="s">
        <v>31</v>
      </c>
      <c r="D526" t="s">
        <v>32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33</v>
      </c>
      <c r="K526" t="s">
        <v>16</v>
      </c>
      <c r="L526" s="2">
        <v>2824.43</v>
      </c>
      <c r="Y526" s="6">
        <f>VLOOKUP(A522,A$1:$L$601,1,FALSE)</f>
        <v>1549</v>
      </c>
      <c r="Z526" s="6" t="str">
        <f>VLOOKUP(B522,B$1:$L$601,1,FALSE)</f>
        <v>Jenna Wong</v>
      </c>
      <c r="AA526" s="6" t="str">
        <f>VLOOKUP(C522,C$1:$L$601,1,FALSE)</f>
        <v>Accessories</v>
      </c>
      <c r="AB526" s="6" t="str">
        <f>VLOOKUP(D522,D$1:$L$601,1,FALSE)</f>
        <v>Sunglasses</v>
      </c>
      <c r="AC526" s="6">
        <f>VLOOKUP(E522,E$1:$L$601,1,FALSE)</f>
        <v>2.4893617021276597</v>
      </c>
      <c r="AD526" s="6">
        <f>VLOOKUP(F522,F$1:$L$601,1,FALSE)</f>
        <v>2465.23</v>
      </c>
      <c r="AE526" s="6">
        <f>VLOOKUP(G522,G$1:$L$601,1,FALSE)</f>
        <v>0.42</v>
      </c>
      <c r="AF526" s="6">
        <f>VLOOKUP(H522,H$1:$L$601,1,FALSE)</f>
        <v>0</v>
      </c>
      <c r="AG526" s="6">
        <f>VLOOKUP(I522,I$1:$L$601,1,FALSE)</f>
        <v>45626.838268792708</v>
      </c>
      <c r="AH526" s="6" t="str">
        <f>VLOOKUP(J522,J$1:$L$601,1,FALSE)</f>
        <v>BANGALORE</v>
      </c>
      <c r="AI526" s="6" t="str">
        <f>VLOOKUP(K522,K$1:$L$601,1,FALSE)</f>
        <v>B2C</v>
      </c>
      <c r="AJ526" s="6">
        <f>VLOOKUP(L522,L$1:$L$601,1,FALSE)</f>
        <v>256.3</v>
      </c>
    </row>
    <row r="527" spans="1:36" x14ac:dyDescent="0.25">
      <c r="A527">
        <v>1554</v>
      </c>
      <c r="B527" t="s">
        <v>577</v>
      </c>
      <c r="C527" t="s">
        <v>27</v>
      </c>
      <c r="D527" t="s">
        <v>28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48</v>
      </c>
      <c r="K527" t="s">
        <v>16</v>
      </c>
      <c r="L527" s="2">
        <v>2041.71</v>
      </c>
      <c r="Y527" s="6">
        <f>VLOOKUP(A523,A$1:$L$601,1,FALSE)</f>
        <v>1550</v>
      </c>
      <c r="Z527" s="6" t="str">
        <f>VLOOKUP(B523,B$1:$L$601,1,FALSE)</f>
        <v>Bradley Oneal</v>
      </c>
      <c r="AA527" s="6" t="str">
        <f>VLOOKUP(C523,C$1:$L$601,1,FALSE)</f>
        <v>Jackets</v>
      </c>
      <c r="AB527" s="6" t="str">
        <f>VLOOKUP(D523,D$1:$L$601,1,FALSE)</f>
        <v>Leather Jacket</v>
      </c>
      <c r="AC527" s="6">
        <f>VLOOKUP(E523,E$1:$L$601,1,FALSE)</f>
        <v>1</v>
      </c>
      <c r="AD527" s="6">
        <f>VLOOKUP(F523,F$1:$L$601,1,FALSE)</f>
        <v>2811.5702272727276</v>
      </c>
      <c r="AE527" s="6">
        <f>VLOOKUP(G523,G$1:$L$601,1,FALSE)</f>
        <v>0.1</v>
      </c>
      <c r="AF527" s="6">
        <f>VLOOKUP(H523,H$1:$L$601,1,FALSE)</f>
        <v>0</v>
      </c>
      <c r="AG527" s="6">
        <f>VLOOKUP(I523,I$1:$L$601,1,FALSE)</f>
        <v>45566</v>
      </c>
      <c r="AH527" s="6" t="str">
        <f>VLOOKUP(J523,J$1:$L$601,1,FALSE)</f>
        <v>PUNE</v>
      </c>
      <c r="AI527" s="6" t="str">
        <f>VLOOKUP(K523,K$1:$L$601,1,FALSE)</f>
        <v>B2C</v>
      </c>
      <c r="AJ527" s="6">
        <f>VLOOKUP(L523,L$1:$L$601,1,FALSE)</f>
        <v>2195.27</v>
      </c>
    </row>
    <row r="528" spans="1:36" x14ac:dyDescent="0.25">
      <c r="A528">
        <v>1555</v>
      </c>
      <c r="B528" t="s">
        <v>578</v>
      </c>
      <c r="C528" t="s">
        <v>31</v>
      </c>
      <c r="D528" t="s">
        <v>32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29</v>
      </c>
      <c r="K528" t="s">
        <v>16</v>
      </c>
      <c r="L528" s="2">
        <v>312.38</v>
      </c>
      <c r="Y528" s="6">
        <f>VLOOKUP(A524,A$1:$L$601,1,FALSE)</f>
        <v>1551</v>
      </c>
      <c r="Z528" s="6" t="str">
        <f>VLOOKUP(B524,B$1:$L$601,1,FALSE)</f>
        <v>Stanley Velez</v>
      </c>
      <c r="AA528" s="6" t="str">
        <f>VLOOKUP(C524,C$1:$L$601,1,FALSE)</f>
        <v>Jackets</v>
      </c>
      <c r="AB528" s="6" t="str">
        <f>VLOOKUP(D524,D$1:$L$601,1,FALSE)</f>
        <v>Leather Jacket</v>
      </c>
      <c r="AC528" s="6">
        <f>VLOOKUP(E524,E$1:$L$601,1,FALSE)</f>
        <v>1.8076923076923077</v>
      </c>
      <c r="AD528" s="6">
        <f>VLOOKUP(F524,F$1:$L$601,1,FALSE)</f>
        <v>2656.77</v>
      </c>
      <c r="AE528" s="6">
        <f>VLOOKUP(G524,G$1:$L$601,1,FALSE)</f>
        <v>1.0500000000000001E-2</v>
      </c>
      <c r="AF528" s="6">
        <f>VLOOKUP(H524,H$1:$L$601,1,FALSE)</f>
        <v>0</v>
      </c>
      <c r="AG528" s="6">
        <f>VLOOKUP(I524,I$1:$L$601,1,FALSE)</f>
        <v>45626.838268792708</v>
      </c>
      <c r="AH528" s="6" t="str">
        <f>VLOOKUP(J524,J$1:$L$601,1,FALSE)</f>
        <v>MUMBAI</v>
      </c>
      <c r="AI528" s="6" t="str">
        <f>VLOOKUP(K524,K$1:$L$601,1,FALSE)</f>
        <v>B2C</v>
      </c>
      <c r="AJ528" s="6">
        <f>VLOOKUP(L524,L$1:$L$601,1,FALSE)</f>
        <v>2293.08</v>
      </c>
    </row>
    <row r="529" spans="1:36" x14ac:dyDescent="0.25">
      <c r="A529">
        <v>1556</v>
      </c>
      <c r="B529" t="s">
        <v>579</v>
      </c>
      <c r="C529" t="s">
        <v>13</v>
      </c>
      <c r="D529" t="s">
        <v>39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29</v>
      </c>
      <c r="K529" t="s">
        <v>24</v>
      </c>
      <c r="L529" s="2">
        <v>2308.0100000000002</v>
      </c>
      <c r="Y529" s="6">
        <f>VLOOKUP(A525,A$1:$L$601,1,FALSE)</f>
        <v>1552</v>
      </c>
      <c r="Z529" s="6" t="str">
        <f>VLOOKUP(B525,B$1:$L$601,1,FALSE)</f>
        <v>Daniel Villegas</v>
      </c>
      <c r="AA529" s="6" t="str">
        <f>VLOOKUP(C525,C$1:$L$601,1,FALSE)</f>
        <v>Shoes</v>
      </c>
      <c r="AB529" s="6" t="str">
        <f>VLOOKUP(D525,D$1:$L$601,1,FALSE)</f>
        <v>Slip-Ons</v>
      </c>
      <c r="AC529" s="6">
        <f>VLOOKUP(E525,E$1:$L$601,1,FALSE)</f>
        <v>1.6216216216216217</v>
      </c>
      <c r="AD529" s="6">
        <f>VLOOKUP(F525,F$1:$L$601,1,FALSE)</f>
        <v>883.76</v>
      </c>
      <c r="AE529" s="6">
        <f>VLOOKUP(G525,G$1:$L$601,1,FALSE)</f>
        <v>0.59740740740740739</v>
      </c>
      <c r="AF529" s="6">
        <f>VLOOKUP(H525,H$1:$L$601,1,FALSE)</f>
        <v>0</v>
      </c>
      <c r="AG529" s="6">
        <f>VLOOKUP(I525,I$1:$L$601,1,FALSE)</f>
        <v>45626.838268792708</v>
      </c>
      <c r="AH529" s="6" t="str">
        <f>VLOOKUP(J525,J$1:$L$601,1,FALSE)</f>
        <v>AHMEDABAD</v>
      </c>
      <c r="AI529" s="6" t="str">
        <f>VLOOKUP(K525,K$1:$L$601,1,FALSE)</f>
        <v>B2C</v>
      </c>
      <c r="AJ529" s="6">
        <f>VLOOKUP(L525,L$1:$L$601,1,FALSE)</f>
        <v>-572.62</v>
      </c>
    </row>
    <row r="530" spans="1:36" x14ac:dyDescent="0.25">
      <c r="A530">
        <v>1557</v>
      </c>
      <c r="B530" t="s">
        <v>580</v>
      </c>
      <c r="C530" t="s">
        <v>21</v>
      </c>
      <c r="D530" t="s">
        <v>22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33</v>
      </c>
      <c r="K530" t="s">
        <v>16</v>
      </c>
      <c r="L530" s="2">
        <v>-594.21</v>
      </c>
      <c r="Y530" s="6">
        <f>VLOOKUP(A526,A$1:$L$601,1,FALSE)</f>
        <v>1553</v>
      </c>
      <c r="Z530" s="6" t="str">
        <f>VLOOKUP(B526,B$1:$L$601,1,FALSE)</f>
        <v>Denise Snyder</v>
      </c>
      <c r="AA530" s="6" t="str">
        <f>VLOOKUP(C526,C$1:$L$601,1,FALSE)</f>
        <v>Accessories</v>
      </c>
      <c r="AB530" s="6" t="str">
        <f>VLOOKUP(D526,D$1:$L$601,1,FALSE)</f>
        <v>Belts</v>
      </c>
      <c r="AC530" s="6">
        <f>VLOOKUP(E526,E$1:$L$601,1,FALSE)</f>
        <v>1</v>
      </c>
      <c r="AD530" s="6">
        <f>VLOOKUP(F526,F$1:$L$601,1,FALSE)</f>
        <v>2706.1301960784322</v>
      </c>
      <c r="AE530" s="6">
        <f>VLOOKUP(G526,G$1:$L$601,1,FALSE)</f>
        <v>0.70297297297297334</v>
      </c>
      <c r="AF530" s="6">
        <f>VLOOKUP(H526,H$1:$L$601,1,FALSE)</f>
        <v>0</v>
      </c>
      <c r="AG530" s="6">
        <f>VLOOKUP(I526,I$1:$L$601,1,FALSE)</f>
        <v>45626.838268792708</v>
      </c>
      <c r="AH530" s="6" t="str">
        <f>VLOOKUP(J526,J$1:$L$601,1,FALSE)</f>
        <v>HYDERBAD</v>
      </c>
      <c r="AI530" s="6" t="str">
        <f>VLOOKUP(K526,K$1:$L$601,1,FALSE)</f>
        <v>B2C</v>
      </c>
      <c r="AJ530" s="6">
        <f>VLOOKUP(L526,L$1:$L$601,1,FALSE)</f>
        <v>2824.43</v>
      </c>
    </row>
    <row r="531" spans="1:36" x14ac:dyDescent="0.25">
      <c r="A531">
        <v>1558</v>
      </c>
      <c r="B531" t="s">
        <v>581</v>
      </c>
      <c r="C531" t="s">
        <v>36</v>
      </c>
      <c r="D531" t="s">
        <v>81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48</v>
      </c>
      <c r="K531" t="s">
        <v>16</v>
      </c>
      <c r="L531" s="2">
        <v>300.17</v>
      </c>
      <c r="Y531" s="6">
        <f>VLOOKUP(A527,A$1:$L$601,1,FALSE)</f>
        <v>1554</v>
      </c>
      <c r="Z531" s="6" t="str">
        <f>VLOOKUP(B527,B$1:$L$601,1,FALSE)</f>
        <v>Christian Williamson</v>
      </c>
      <c r="AA531" s="6" t="str">
        <f>VLOOKUP(C527,C$1:$L$601,1,FALSE)</f>
        <v>Shoes</v>
      </c>
      <c r="AB531" s="6" t="str">
        <f>VLOOKUP(D527,D$1:$L$601,1,FALSE)</f>
        <v>Loafers</v>
      </c>
      <c r="AC531" s="6">
        <f>VLOOKUP(E527,E$1:$L$601,1,FALSE)</f>
        <v>1.6216216216216217</v>
      </c>
      <c r="AD531" s="6">
        <f>VLOOKUP(F527,F$1:$L$601,1,FALSE)</f>
        <v>2345.71</v>
      </c>
      <c r="AE531" s="6">
        <f>VLOOKUP(G527,G$1:$L$601,1,FALSE)</f>
        <v>0.59740740740740739</v>
      </c>
      <c r="AF531" s="6">
        <f>VLOOKUP(H527,H$1:$L$601,1,FALSE)</f>
        <v>0</v>
      </c>
      <c r="AG531" s="6">
        <f>VLOOKUP(I527,I$1:$L$601,1,FALSE)</f>
        <v>45769</v>
      </c>
      <c r="AH531" s="6" t="str">
        <f>VLOOKUP(J527,J$1:$L$601,1,FALSE)</f>
        <v>PUNE</v>
      </c>
      <c r="AI531" s="6" t="str">
        <f>VLOOKUP(K527,K$1:$L$601,1,FALSE)</f>
        <v>B2C</v>
      </c>
      <c r="AJ531" s="6">
        <f>VLOOKUP(L527,L$1:$L$601,1,FALSE)</f>
        <v>2041.71</v>
      </c>
    </row>
    <row r="532" spans="1:36" x14ac:dyDescent="0.25">
      <c r="A532">
        <v>1559</v>
      </c>
      <c r="B532" t="s">
        <v>582</v>
      </c>
      <c r="C532" t="s">
        <v>21</v>
      </c>
      <c r="D532" t="s">
        <v>121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23</v>
      </c>
      <c r="K532" t="s">
        <v>16</v>
      </c>
      <c r="L532" s="2">
        <v>-548.17999999999995</v>
      </c>
      <c r="Y532" s="6">
        <f>VLOOKUP(A528,A$1:$L$601,1,FALSE)</f>
        <v>1555</v>
      </c>
      <c r="Z532" s="6" t="str">
        <f>VLOOKUP(B528,B$1:$L$601,1,FALSE)</f>
        <v>Linda Estrada</v>
      </c>
      <c r="AA532" s="6" t="str">
        <f>VLOOKUP(C528,C$1:$L$601,1,FALSE)</f>
        <v>Accessories</v>
      </c>
      <c r="AB532" s="6" t="str">
        <f>VLOOKUP(D528,D$1:$L$601,1,FALSE)</f>
        <v>Belts</v>
      </c>
      <c r="AC532" s="6">
        <f>VLOOKUP(E528,E$1:$L$601,1,FALSE)</f>
        <v>2.4893617021276597</v>
      </c>
      <c r="AD532" s="6">
        <f>VLOOKUP(F528,F$1:$L$601,1,FALSE)</f>
        <v>2706.1301960784322</v>
      </c>
      <c r="AE532" s="6">
        <f>VLOOKUP(G528,G$1:$L$601,1,FALSE)</f>
        <v>0.70297297297297334</v>
      </c>
      <c r="AF532" s="6">
        <f>VLOOKUP(H528,H$1:$L$601,1,FALSE)</f>
        <v>0</v>
      </c>
      <c r="AG532" s="6">
        <f>VLOOKUP(I528,I$1:$L$601,1,FALSE)</f>
        <v>45626.838268792708</v>
      </c>
      <c r="AH532" s="6" t="str">
        <f>VLOOKUP(J528,J$1:$L$601,1,FALSE)</f>
        <v>BANGALORE</v>
      </c>
      <c r="AI532" s="6" t="str">
        <f>VLOOKUP(K528,K$1:$L$601,1,FALSE)</f>
        <v>B2C</v>
      </c>
      <c r="AJ532" s="6">
        <f>VLOOKUP(L528,L$1:$L$601,1,FALSE)</f>
        <v>312.38</v>
      </c>
    </row>
    <row r="533" spans="1:36" x14ac:dyDescent="0.25">
      <c r="A533">
        <v>1560</v>
      </c>
      <c r="B533" t="s">
        <v>583</v>
      </c>
      <c r="C533" t="s">
        <v>31</v>
      </c>
      <c r="D533" t="s">
        <v>140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33</v>
      </c>
      <c r="K533" t="s">
        <v>24</v>
      </c>
      <c r="L533" s="2">
        <v>574.85</v>
      </c>
      <c r="Y533" s="6">
        <f>VLOOKUP(A529,A$1:$L$601,1,FALSE)</f>
        <v>1556</v>
      </c>
      <c r="Z533" s="6" t="str">
        <f>VLOOKUP(B529,B$1:$L$601,1,FALSE)</f>
        <v>Courtney Page</v>
      </c>
      <c r="AA533" s="6" t="str">
        <f>VLOOKUP(C529,C$1:$L$601,1,FALSE)</f>
        <v>Jeans</v>
      </c>
      <c r="AB533" s="6" t="str">
        <f>VLOOKUP(D529,D$1:$L$601,1,FALSE)</f>
        <v>Boyfriend Jeans</v>
      </c>
      <c r="AC533" s="6">
        <f>VLOOKUP(E529,E$1:$L$601,1,FALSE)</f>
        <v>2.1052631578947367</v>
      </c>
      <c r="AD533" s="6">
        <f>VLOOKUP(F529,F$1:$L$601,1,FALSE)</f>
        <v>453.92</v>
      </c>
      <c r="AE533" s="6">
        <f>VLOOKUP(G529,G$1:$L$601,1,FALSE)</f>
        <v>0.58977272727272723</v>
      </c>
      <c r="AF533" s="6">
        <f>VLOOKUP(H529,H$1:$L$601,1,FALSE)</f>
        <v>0</v>
      </c>
      <c r="AG533" s="6">
        <f>VLOOKUP(I529,I$1:$L$601,1,FALSE)</f>
        <v>45628</v>
      </c>
      <c r="AH533" s="6" t="str">
        <f>VLOOKUP(J529,J$1:$L$601,1,FALSE)</f>
        <v>BANGALORE</v>
      </c>
      <c r="AI533" s="6" t="str">
        <f>VLOOKUP(K529,K$1:$L$601,1,FALSE)</f>
        <v>B2B</v>
      </c>
      <c r="AJ533" s="6">
        <f>VLOOKUP(L529,L$1:$L$601,1,FALSE)</f>
        <v>2308.0100000000002</v>
      </c>
    </row>
    <row r="534" spans="1:36" x14ac:dyDescent="0.25">
      <c r="A534">
        <v>1561</v>
      </c>
      <c r="B534" t="s">
        <v>584</v>
      </c>
      <c r="C534" t="s">
        <v>27</v>
      </c>
      <c r="D534" t="s">
        <v>55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  <c r="Y534" s="6">
        <f>VLOOKUP(A530,A$1:$L$601,1,FALSE)</f>
        <v>1557</v>
      </c>
      <c r="Z534" s="6" t="str">
        <f>VLOOKUP(B530,B$1:$L$601,1,FALSE)</f>
        <v>Timothy Garcia</v>
      </c>
      <c r="AA534" s="6" t="str">
        <f>VLOOKUP(C530,C$1:$L$601,1,FALSE)</f>
        <v>Jackets</v>
      </c>
      <c r="AB534" s="6" t="str">
        <f>VLOOKUP(D530,D$1:$L$601,1,FALSE)</f>
        <v>Puffer Coat</v>
      </c>
      <c r="AC534" s="6">
        <f>VLOOKUP(E530,E$1:$L$601,1,FALSE)</f>
        <v>1.8076923076923077</v>
      </c>
      <c r="AD534" s="6">
        <f>VLOOKUP(F530,F$1:$L$601,1,FALSE)</f>
        <v>4402.3999999999996</v>
      </c>
      <c r="AE534" s="6">
        <f>VLOOKUP(G530,G$1:$L$601,1,FALSE)</f>
        <v>0.69969696969696993</v>
      </c>
      <c r="AF534" s="6">
        <f>VLOOKUP(H530,H$1:$L$601,1,FALSE)</f>
        <v>0</v>
      </c>
      <c r="AG534" s="6">
        <f>VLOOKUP(I530,I$1:$L$601,1,FALSE)</f>
        <v>45669</v>
      </c>
      <c r="AH534" s="6" t="str">
        <f>VLOOKUP(J530,J$1:$L$601,1,FALSE)</f>
        <v>HYDERBAD</v>
      </c>
      <c r="AI534" s="6" t="str">
        <f>VLOOKUP(K530,K$1:$L$601,1,FALSE)</f>
        <v>B2C</v>
      </c>
      <c r="AJ534" s="6">
        <f>VLOOKUP(L530,L$1:$L$601,1,FALSE)</f>
        <v>-594.21</v>
      </c>
    </row>
    <row r="535" spans="1:36" x14ac:dyDescent="0.25">
      <c r="A535">
        <v>1562</v>
      </c>
      <c r="B535" t="s">
        <v>585</v>
      </c>
      <c r="C535" t="s">
        <v>31</v>
      </c>
      <c r="D535" t="s">
        <v>140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33</v>
      </c>
      <c r="K535" t="s">
        <v>24</v>
      </c>
      <c r="L535" s="2">
        <v>930.14</v>
      </c>
      <c r="Y535" s="6">
        <f>VLOOKUP(A531,A$1:$L$601,1,FALSE)</f>
        <v>1558</v>
      </c>
      <c r="Z535" s="6" t="str">
        <f>VLOOKUP(B531,B$1:$L$601,1,FALSE)</f>
        <v>Jacob Williams</v>
      </c>
      <c r="AA535" s="6" t="str">
        <f>VLOOKUP(C531,C$1:$L$601,1,FALSE)</f>
        <v>T-Shirts</v>
      </c>
      <c r="AB535" s="6" t="str">
        <f>VLOOKUP(D531,D$1:$L$601,1,FALSE)</f>
        <v>Graphic Tee</v>
      </c>
      <c r="AC535" s="6">
        <f>VLOOKUP(E531,E$1:$L$601,1,FALSE)</f>
        <v>1.5178571428571428</v>
      </c>
      <c r="AD535" s="6">
        <f>VLOOKUP(F531,F$1:$L$601,1,FALSE)</f>
        <v>2742.2927659574466</v>
      </c>
      <c r="AE535" s="6">
        <f>VLOOKUP(G531,G$1:$L$601,1,FALSE)</f>
        <v>0.65787878787878773</v>
      </c>
      <c r="AF535" s="6">
        <f>VLOOKUP(H531,H$1:$L$601,1,FALSE)</f>
        <v>0</v>
      </c>
      <c r="AG535" s="6">
        <f>VLOOKUP(I531,I$1:$L$601,1,FALSE)</f>
        <v>45273</v>
      </c>
      <c r="AH535" s="6" t="str">
        <f>VLOOKUP(J531,J$1:$L$601,1,FALSE)</f>
        <v>PUNE</v>
      </c>
      <c r="AI535" s="6" t="str">
        <f>VLOOKUP(K531,K$1:$L$601,1,FALSE)</f>
        <v>B2C</v>
      </c>
      <c r="AJ535" s="6">
        <f>VLOOKUP(L531,L$1:$L$601,1,FALSE)</f>
        <v>300.17</v>
      </c>
    </row>
    <row r="536" spans="1:36" x14ac:dyDescent="0.25">
      <c r="A536">
        <v>1563</v>
      </c>
      <c r="B536" t="s">
        <v>586</v>
      </c>
      <c r="C536" t="s">
        <v>41</v>
      </c>
      <c r="D536" t="s">
        <v>59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19</v>
      </c>
      <c r="K536" t="s">
        <v>16</v>
      </c>
      <c r="L536" s="2">
        <v>103.28</v>
      </c>
      <c r="Y536" s="6">
        <f>VLOOKUP(A532,A$1:$L$601,1,FALSE)</f>
        <v>1559</v>
      </c>
      <c r="Z536" s="6" t="str">
        <f>VLOOKUP(B532,B$1:$L$601,1,FALSE)</f>
        <v>William Phillips</v>
      </c>
      <c r="AA536" s="6" t="str">
        <f>VLOOKUP(C532,C$1:$L$601,1,FALSE)</f>
        <v>Jackets</v>
      </c>
      <c r="AB536" s="6" t="str">
        <f>VLOOKUP(D532,D$1:$L$601,1,FALSE)</f>
        <v>Leather Jacket</v>
      </c>
      <c r="AC536" s="6">
        <f>VLOOKUP(E532,E$1:$L$601,1,FALSE)</f>
        <v>1.8076923076923077</v>
      </c>
      <c r="AD536" s="6">
        <f>VLOOKUP(F532,F$1:$L$601,1,FALSE)</f>
        <v>2811.5702272727276</v>
      </c>
      <c r="AE536" s="6">
        <f>VLOOKUP(G532,G$1:$L$601,1,FALSE)</f>
        <v>0.09</v>
      </c>
      <c r="AF536" s="6">
        <f>VLOOKUP(H532,H$1:$L$601,1,FALSE)</f>
        <v>0</v>
      </c>
      <c r="AG536" s="6">
        <f>VLOOKUP(I532,I$1:$L$601,1,FALSE)</f>
        <v>45626.838268792708</v>
      </c>
      <c r="AH536" s="6" t="str">
        <f>VLOOKUP(J532,J$1:$L$601,1,FALSE)</f>
        <v>MUMBAI</v>
      </c>
      <c r="AI536" s="6" t="str">
        <f>VLOOKUP(K532,K$1:$L$601,1,FALSE)</f>
        <v>B2C</v>
      </c>
      <c r="AJ536" s="6">
        <f>VLOOKUP(L532,L$1:$L$601,1,FALSE)</f>
        <v>-548.17999999999995</v>
      </c>
    </row>
    <row r="537" spans="1:36" x14ac:dyDescent="0.25">
      <c r="A537">
        <v>1564</v>
      </c>
      <c r="B537" t="s">
        <v>587</v>
      </c>
      <c r="C537" t="s">
        <v>13</v>
      </c>
      <c r="D537" t="s">
        <v>39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48</v>
      </c>
      <c r="K537" t="s">
        <v>16</v>
      </c>
      <c r="L537" s="2">
        <v>-953.17</v>
      </c>
      <c r="Y537" s="6">
        <f>VLOOKUP(A533,A$1:$L$601,1,FALSE)</f>
        <v>1560</v>
      </c>
      <c r="Z537" s="6" t="str">
        <f>VLOOKUP(B533,B$1:$L$601,1,FALSE)</f>
        <v>Angela Graham</v>
      </c>
      <c r="AA537" s="6" t="str">
        <f>VLOOKUP(C533,C$1:$L$601,1,FALSE)</f>
        <v>Accessories</v>
      </c>
      <c r="AB537" s="6" t="str">
        <f>VLOOKUP(D533,D$1:$L$601,1,FALSE)</f>
        <v>Caps</v>
      </c>
      <c r="AC537" s="6">
        <f>VLOOKUP(E533,E$1:$L$601,1,FALSE)</f>
        <v>2.4893617021276597</v>
      </c>
      <c r="AD537" s="6">
        <f>VLOOKUP(F533,F$1:$L$601,1,FALSE)</f>
        <v>2706.1301960784322</v>
      </c>
      <c r="AE537" s="6">
        <f>VLOOKUP(G533,G$1:$L$601,1,FALSE)</f>
        <v>0.71</v>
      </c>
      <c r="AF537" s="6">
        <f>VLOOKUP(H533,H$1:$L$601,1,FALSE)</f>
        <v>0</v>
      </c>
      <c r="AG537" s="6">
        <f>VLOOKUP(I533,I$1:$L$601,1,FALSE)</f>
        <v>45671</v>
      </c>
      <c r="AH537" s="6" t="str">
        <f>VLOOKUP(J533,J$1:$L$601,1,FALSE)</f>
        <v>HYDERBAD</v>
      </c>
      <c r="AI537" s="6" t="str">
        <f>VLOOKUP(K533,K$1:$L$601,1,FALSE)</f>
        <v>B2B</v>
      </c>
      <c r="AJ537" s="6">
        <f>VLOOKUP(L533,L$1:$L$601,1,FALSE)</f>
        <v>574.85</v>
      </c>
    </row>
    <row r="538" spans="1:36" x14ac:dyDescent="0.25">
      <c r="A538">
        <v>1565</v>
      </c>
      <c r="B538" t="s">
        <v>588</v>
      </c>
      <c r="C538" t="s">
        <v>31</v>
      </c>
      <c r="D538" t="s">
        <v>140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48</v>
      </c>
      <c r="K538" t="s">
        <v>24</v>
      </c>
      <c r="L538" s="2">
        <v>784.96</v>
      </c>
      <c r="Y538" s="6">
        <f>VLOOKUP(A534,A$1:$L$601,1,FALSE)</f>
        <v>1561</v>
      </c>
      <c r="Z538" s="6" t="str">
        <f>VLOOKUP(B534,B$1:$L$601,1,FALSE)</f>
        <v>Melissa Smith</v>
      </c>
      <c r="AA538" s="6" t="str">
        <f>VLOOKUP(C534,C$1:$L$601,1,FALSE)</f>
        <v>Shoes</v>
      </c>
      <c r="AB538" s="6" t="str">
        <f>VLOOKUP(D534,D$1:$L$601,1,FALSE)</f>
        <v>Sneakers</v>
      </c>
      <c r="AC538" s="6">
        <f>VLOOKUP(E534,E$1:$L$601,1,FALSE)</f>
        <v>4</v>
      </c>
      <c r="AD538" s="6">
        <f>VLOOKUP(F534,F$1:$L$601,1,FALSE)</f>
        <v>2557.4251351351354</v>
      </c>
      <c r="AE538" s="6">
        <f>VLOOKUP(G534,G$1:$L$601,1,FALSE)</f>
        <v>0.59740740740740739</v>
      </c>
      <c r="AF538" s="6">
        <f>VLOOKUP(H534,H$1:$L$601,1,FALSE)</f>
        <v>0</v>
      </c>
      <c r="AG538" s="6">
        <f>VLOOKUP(I534,I$1:$L$601,1,FALSE)</f>
        <v>45668</v>
      </c>
      <c r="AH538" s="6" t="str">
        <f>VLOOKUP(J534,J$1:$L$601,1,FALSE)</f>
        <v>DELHI</v>
      </c>
      <c r="AI538" s="6" t="str">
        <f>VLOOKUP(K534,K$1:$L$601,1,FALSE)</f>
        <v>B2C</v>
      </c>
      <c r="AJ538" s="6">
        <f>VLOOKUP(L534,L$1:$L$601,1,FALSE)</f>
        <v>2513.2399999999998</v>
      </c>
    </row>
    <row r="539" spans="1:36" x14ac:dyDescent="0.25">
      <c r="A539">
        <v>1566</v>
      </c>
      <c r="B539" t="s">
        <v>589</v>
      </c>
      <c r="C539" t="s">
        <v>21</v>
      </c>
      <c r="D539" t="s">
        <v>22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19</v>
      </c>
      <c r="K539" t="s">
        <v>24</v>
      </c>
      <c r="L539" s="2">
        <v>953.07</v>
      </c>
      <c r="Y539" s="6">
        <f>VLOOKUP(A535,A$1:$L$601,1,FALSE)</f>
        <v>1562</v>
      </c>
      <c r="Z539" s="6" t="str">
        <f>VLOOKUP(B535,B$1:$L$601,1,FALSE)</f>
        <v>Richard Harris</v>
      </c>
      <c r="AA539" s="6" t="str">
        <f>VLOOKUP(C535,C$1:$L$601,1,FALSE)</f>
        <v>Accessories</v>
      </c>
      <c r="AB539" s="6" t="str">
        <f>VLOOKUP(D535,D$1:$L$601,1,FALSE)</f>
        <v>Caps</v>
      </c>
      <c r="AC539" s="6">
        <f>VLOOKUP(E535,E$1:$L$601,1,FALSE)</f>
        <v>2.4893617021276597</v>
      </c>
      <c r="AD539" s="6">
        <f>VLOOKUP(F535,F$1:$L$601,1,FALSE)</f>
        <v>2706.1301960784322</v>
      </c>
      <c r="AE539" s="6">
        <f>VLOOKUP(G535,G$1:$L$601,1,FALSE)</f>
        <v>0.70297297297297334</v>
      </c>
      <c r="AF539" s="6">
        <f>VLOOKUP(H535,H$1:$L$601,1,FALSE)</f>
        <v>0</v>
      </c>
      <c r="AG539" s="6">
        <f>VLOOKUP(I535,I$1:$L$601,1,FALSE)</f>
        <v>45626.838268792708</v>
      </c>
      <c r="AH539" s="6" t="str">
        <f>VLOOKUP(J535,J$1:$L$601,1,FALSE)</f>
        <v>HYDERBAD</v>
      </c>
      <c r="AI539" s="6" t="str">
        <f>VLOOKUP(K535,K$1:$L$601,1,FALSE)</f>
        <v>B2B</v>
      </c>
      <c r="AJ539" s="6">
        <f>VLOOKUP(L535,L$1:$L$601,1,FALSE)</f>
        <v>930.14</v>
      </c>
    </row>
    <row r="540" spans="1:36" x14ac:dyDescent="0.25">
      <c r="A540">
        <v>1567</v>
      </c>
      <c r="B540" t="s">
        <v>590</v>
      </c>
      <c r="C540" t="s">
        <v>31</v>
      </c>
      <c r="D540" t="s">
        <v>32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33</v>
      </c>
      <c r="K540" t="s">
        <v>16</v>
      </c>
      <c r="L540" s="2">
        <v>2545.25</v>
      </c>
      <c r="Y540" s="6">
        <f>VLOOKUP(A536,A$1:$L$601,1,FALSE)</f>
        <v>1563</v>
      </c>
      <c r="Z540" s="6" t="str">
        <f>VLOOKUP(B536,B$1:$L$601,1,FALSE)</f>
        <v>Cassie Johnson</v>
      </c>
      <c r="AA540" s="6" t="str">
        <f>VLOOKUP(C536,C$1:$L$601,1,FALSE)</f>
        <v>Dresses</v>
      </c>
      <c r="AB540" s="6" t="str">
        <f>VLOOKUP(D536,D$1:$L$601,1,FALSE)</f>
        <v>Maxi Dress</v>
      </c>
      <c r="AC540" s="6">
        <f>VLOOKUP(E536,E$1:$L$601,1,FALSE)</f>
        <v>5</v>
      </c>
      <c r="AD540" s="6">
        <f>VLOOKUP(F536,F$1:$L$601,1,FALSE)</f>
        <v>1571.12</v>
      </c>
      <c r="AE540" s="6">
        <f>VLOOKUP(G536,G$1:$L$601,1,FALSE)</f>
        <v>0.65</v>
      </c>
      <c r="AF540" s="6">
        <f>VLOOKUP(H536,H$1:$L$601,1,FALSE)</f>
        <v>2749.46</v>
      </c>
      <c r="AG540" s="6">
        <f>VLOOKUP(I536,I$1:$L$601,1,FALSE)</f>
        <v>45626.838268792708</v>
      </c>
      <c r="AH540" s="6" t="str">
        <f>VLOOKUP(J536,J$1:$L$601,1,FALSE)</f>
        <v>AHMEDABAD</v>
      </c>
      <c r="AI540" s="6" t="str">
        <f>VLOOKUP(K536,K$1:$L$601,1,FALSE)</f>
        <v>B2C</v>
      </c>
      <c r="AJ540" s="6">
        <f>VLOOKUP(L536,L$1:$L$601,1,FALSE)</f>
        <v>103.28</v>
      </c>
    </row>
    <row r="541" spans="1:36" x14ac:dyDescent="0.25">
      <c r="A541">
        <v>1568</v>
      </c>
      <c r="B541" t="s">
        <v>591</v>
      </c>
      <c r="C541" t="s">
        <v>13</v>
      </c>
      <c r="D541" t="s">
        <v>101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  <c r="Y541" s="6">
        <f>VLOOKUP(A537,A$1:$L$601,1,FALSE)</f>
        <v>1564</v>
      </c>
      <c r="Z541" s="6" t="str">
        <f>VLOOKUP(B537,B$1:$L$601,1,FALSE)</f>
        <v>Jerome Martinez</v>
      </c>
      <c r="AA541" s="6" t="str">
        <f>VLOOKUP(C537,C$1:$L$601,1,FALSE)</f>
        <v>Jeans</v>
      </c>
      <c r="AB541" s="6" t="str">
        <f>VLOOKUP(D537,D$1:$L$601,1,FALSE)</f>
        <v>Boyfriend Jeans</v>
      </c>
      <c r="AC541" s="6">
        <f>VLOOKUP(E537,E$1:$L$601,1,FALSE)</f>
        <v>2</v>
      </c>
      <c r="AD541" s="6">
        <f>VLOOKUP(F537,F$1:$L$601,1,FALSE)</f>
        <v>2676.4254237288142</v>
      </c>
      <c r="AE541" s="6">
        <f>VLOOKUP(G537,G$1:$L$601,1,FALSE)</f>
        <v>0.67</v>
      </c>
      <c r="AF541" s="6">
        <f>VLOOKUP(H537,H$1:$L$601,1,FALSE)</f>
        <v>0</v>
      </c>
      <c r="AG541" s="6">
        <f>VLOOKUP(I537,I$1:$L$601,1,FALSE)</f>
        <v>45626.838268792708</v>
      </c>
      <c r="AH541" s="6" t="str">
        <f>VLOOKUP(J537,J$1:$L$601,1,FALSE)</f>
        <v>PUNE</v>
      </c>
      <c r="AI541" s="6" t="str">
        <f>VLOOKUP(K537,K$1:$L$601,1,FALSE)</f>
        <v>B2C</v>
      </c>
      <c r="AJ541" s="6">
        <f>VLOOKUP(L537,L$1:$L$601,1,FALSE)</f>
        <v>-953.17</v>
      </c>
    </row>
    <row r="542" spans="1:36" x14ac:dyDescent="0.25">
      <c r="A542">
        <v>1569</v>
      </c>
      <c r="B542" t="s">
        <v>592</v>
      </c>
      <c r="C542" t="s">
        <v>41</v>
      </c>
      <c r="D542" t="s">
        <v>59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19</v>
      </c>
      <c r="K542" t="s">
        <v>16</v>
      </c>
      <c r="L542" s="2">
        <v>576.66</v>
      </c>
      <c r="Y542" s="6">
        <f>VLOOKUP(A538,A$1:$L$601,1,FALSE)</f>
        <v>1565</v>
      </c>
      <c r="Z542" s="6" t="str">
        <f>VLOOKUP(B538,B$1:$L$601,1,FALSE)</f>
        <v>Angel Gonzalez</v>
      </c>
      <c r="AA542" s="6" t="str">
        <f>VLOOKUP(C538,C$1:$L$601,1,FALSE)</f>
        <v>Accessories</v>
      </c>
      <c r="AB542" s="6" t="str">
        <f>VLOOKUP(D538,D$1:$L$601,1,FALSE)</f>
        <v>Caps</v>
      </c>
      <c r="AC542" s="6">
        <f>VLOOKUP(E538,E$1:$L$601,1,FALSE)</f>
        <v>2.4893617021276597</v>
      </c>
      <c r="AD542" s="6">
        <f>VLOOKUP(F538,F$1:$L$601,1,FALSE)</f>
        <v>1867.24</v>
      </c>
      <c r="AE542" s="6">
        <f>VLOOKUP(G538,G$1:$L$601,1,FALSE)</f>
        <v>0.19</v>
      </c>
      <c r="AF542" s="6">
        <f>VLOOKUP(H538,H$1:$L$601,1,FALSE)</f>
        <v>0</v>
      </c>
      <c r="AG542" s="6">
        <f>VLOOKUP(I538,I$1:$L$601,1,FALSE)</f>
        <v>45781</v>
      </c>
      <c r="AH542" s="6" t="str">
        <f>VLOOKUP(J538,J$1:$L$601,1,FALSE)</f>
        <v>PUNE</v>
      </c>
      <c r="AI542" s="6" t="str">
        <f>VLOOKUP(K538,K$1:$L$601,1,FALSE)</f>
        <v>B2B</v>
      </c>
      <c r="AJ542" s="6">
        <f>VLOOKUP(L538,L$1:$L$601,1,FALSE)</f>
        <v>784.96</v>
      </c>
    </row>
    <row r="543" spans="1:36" x14ac:dyDescent="0.25">
      <c r="A543">
        <v>1570</v>
      </c>
      <c r="B543" t="s">
        <v>593</v>
      </c>
      <c r="C543" t="s">
        <v>21</v>
      </c>
      <c r="D543" t="s">
        <v>121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23</v>
      </c>
      <c r="K543" t="s">
        <v>16</v>
      </c>
      <c r="L543" s="2">
        <v>-146.16999999999999</v>
      </c>
      <c r="Y543" s="6">
        <f>VLOOKUP(A539,A$1:$L$601,1,FALSE)</f>
        <v>1566</v>
      </c>
      <c r="Z543" s="6" t="str">
        <f>VLOOKUP(B539,B$1:$L$601,1,FALSE)</f>
        <v>Brooke Garcia</v>
      </c>
      <c r="AA543" s="6" t="str">
        <f>VLOOKUP(C539,C$1:$L$601,1,FALSE)</f>
        <v>Jackets</v>
      </c>
      <c r="AB543" s="6" t="str">
        <f>VLOOKUP(D539,D$1:$L$601,1,FALSE)</f>
        <v>Puffer Coat</v>
      </c>
      <c r="AC543" s="6">
        <f>VLOOKUP(E539,E$1:$L$601,1,FALSE)</f>
        <v>1.8076923076923077</v>
      </c>
      <c r="AD543" s="6">
        <f>VLOOKUP(F539,F$1:$L$601,1,FALSE)</f>
        <v>1696.72</v>
      </c>
      <c r="AE543" s="6">
        <f>VLOOKUP(G539,G$1:$L$601,1,FALSE)</f>
        <v>0.69969696969696993</v>
      </c>
      <c r="AF543" s="6">
        <f>VLOOKUP(H539,H$1:$L$601,1,FALSE)</f>
        <v>0</v>
      </c>
      <c r="AG543" s="6">
        <f>VLOOKUP(I539,I$1:$L$601,1,FALSE)</f>
        <v>45516</v>
      </c>
      <c r="AH543" s="6" t="str">
        <f>VLOOKUP(J539,J$1:$L$601,1,FALSE)</f>
        <v>AHMEDABAD</v>
      </c>
      <c r="AI543" s="6" t="str">
        <f>VLOOKUP(K539,K$1:$L$601,1,FALSE)</f>
        <v>B2B</v>
      </c>
      <c r="AJ543" s="6">
        <f>VLOOKUP(L539,L$1:$L$601,1,FALSE)</f>
        <v>953.07</v>
      </c>
    </row>
    <row r="544" spans="1:36" x14ac:dyDescent="0.25">
      <c r="A544">
        <v>1571</v>
      </c>
      <c r="B544" t="s">
        <v>594</v>
      </c>
      <c r="C544" t="s">
        <v>21</v>
      </c>
      <c r="D544" t="s">
        <v>87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48</v>
      </c>
      <c r="K544" t="s">
        <v>16</v>
      </c>
      <c r="L544" s="2">
        <v>-246.91</v>
      </c>
      <c r="Y544" s="6">
        <f>VLOOKUP(A540,A$1:$L$601,1,FALSE)</f>
        <v>1567</v>
      </c>
      <c r="Z544" s="6" t="str">
        <f>VLOOKUP(B540,B$1:$L$601,1,FALSE)</f>
        <v>Andre Stone</v>
      </c>
      <c r="AA544" s="6" t="str">
        <f>VLOOKUP(C540,C$1:$L$601,1,FALSE)</f>
        <v>Accessories</v>
      </c>
      <c r="AB544" s="6" t="str">
        <f>VLOOKUP(D540,D$1:$L$601,1,FALSE)</f>
        <v>Belts</v>
      </c>
      <c r="AC544" s="6">
        <f>VLOOKUP(E540,E$1:$L$601,1,FALSE)</f>
        <v>2.4893617021276597</v>
      </c>
      <c r="AD544" s="6">
        <f>VLOOKUP(F540,F$1:$L$601,1,FALSE)</f>
        <v>2706.1301960784322</v>
      </c>
      <c r="AE544" s="6">
        <f>VLOOKUP(G540,G$1:$L$601,1,FALSE)</f>
        <v>0.70297297297297334</v>
      </c>
      <c r="AF544" s="6">
        <f>VLOOKUP(H540,H$1:$L$601,1,FALSE)</f>
        <v>0</v>
      </c>
      <c r="AG544" s="6">
        <f>VLOOKUP(I540,I$1:$L$601,1,FALSE)</f>
        <v>45626.838268792708</v>
      </c>
      <c r="AH544" s="6" t="str">
        <f>VLOOKUP(J540,J$1:$L$601,1,FALSE)</f>
        <v>HYDERBAD</v>
      </c>
      <c r="AI544" s="6" t="str">
        <f>VLOOKUP(K540,K$1:$L$601,1,FALSE)</f>
        <v>B2C</v>
      </c>
      <c r="AJ544" s="6">
        <f>VLOOKUP(L540,L$1:$L$601,1,FALSE)</f>
        <v>2545.25</v>
      </c>
    </row>
    <row r="545" spans="1:36" x14ac:dyDescent="0.25">
      <c r="A545">
        <v>1572</v>
      </c>
      <c r="B545" t="s">
        <v>595</v>
      </c>
      <c r="C545" t="s">
        <v>21</v>
      </c>
      <c r="D545" t="s">
        <v>121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  <c r="Y545" s="6">
        <f>VLOOKUP(A541,A$1:$L$601,1,FALSE)</f>
        <v>1568</v>
      </c>
      <c r="Z545" s="6" t="str">
        <f>VLOOKUP(B541,B$1:$L$601,1,FALSE)</f>
        <v>Toni Marquez</v>
      </c>
      <c r="AA545" s="6" t="str">
        <f>VLOOKUP(C541,C$1:$L$601,1,FALSE)</f>
        <v>Jeans</v>
      </c>
      <c r="AB545" s="6" t="str">
        <f>VLOOKUP(D541,D$1:$L$601,1,FALSE)</f>
        <v>Ripped Denim</v>
      </c>
      <c r="AC545" s="6">
        <f>VLOOKUP(E541,E$1:$L$601,1,FALSE)</f>
        <v>6</v>
      </c>
      <c r="AD545" s="6">
        <f>VLOOKUP(F541,F$1:$L$601,1,FALSE)</f>
        <v>2676.4254237288142</v>
      </c>
      <c r="AE545" s="6">
        <f>VLOOKUP(G541,G$1:$L$601,1,FALSE)</f>
        <v>0.58977272727272723</v>
      </c>
      <c r="AF545" s="6">
        <f>VLOOKUP(H541,H$1:$L$601,1,FALSE)</f>
        <v>0</v>
      </c>
      <c r="AG545" s="6">
        <f>VLOOKUP(I541,I$1:$L$601,1,FALSE)</f>
        <v>45626.838268792708</v>
      </c>
      <c r="AH545" s="6" t="str">
        <f>VLOOKUP(J541,J$1:$L$601,1,FALSE)</f>
        <v>DELHI</v>
      </c>
      <c r="AI545" s="6" t="str">
        <f>VLOOKUP(K541,K$1:$L$601,1,FALSE)</f>
        <v>B2C</v>
      </c>
      <c r="AJ545" s="6">
        <f>VLOOKUP(L541,L$1:$L$601,1,FALSE)</f>
        <v>2403.0100000000002</v>
      </c>
    </row>
    <row r="546" spans="1:36" x14ac:dyDescent="0.25">
      <c r="A546">
        <v>1573</v>
      </c>
      <c r="B546" t="s">
        <v>596</v>
      </c>
      <c r="C546" t="s">
        <v>13</v>
      </c>
      <c r="D546" t="s">
        <v>101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33</v>
      </c>
      <c r="K546" t="s">
        <v>16</v>
      </c>
      <c r="L546" s="2">
        <v>-902.58</v>
      </c>
      <c r="Y546" s="6">
        <f>VLOOKUP(A542,A$1:$L$601,1,FALSE)</f>
        <v>1569</v>
      </c>
      <c r="Z546" s="6" t="str">
        <f>VLOOKUP(B542,B$1:$L$601,1,FALSE)</f>
        <v>David Weaver</v>
      </c>
      <c r="AA546" s="6" t="str">
        <f>VLOOKUP(C542,C$1:$L$601,1,FALSE)</f>
        <v>Dresses</v>
      </c>
      <c r="AB546" s="6" t="str">
        <f>VLOOKUP(D542,D$1:$L$601,1,FALSE)</f>
        <v>Maxi Dress</v>
      </c>
      <c r="AC546" s="6">
        <f>VLOOKUP(E542,E$1:$L$601,1,FALSE)</f>
        <v>1</v>
      </c>
      <c r="AD546" s="6">
        <f>VLOOKUP(F542,F$1:$L$601,1,FALSE)</f>
        <v>2949.9901960784309</v>
      </c>
      <c r="AE546" s="6">
        <f>VLOOKUP(G542,G$1:$L$601,1,FALSE)</f>
        <v>0.02</v>
      </c>
      <c r="AF546" s="6">
        <f>VLOOKUP(H542,H$1:$L$601,1,FALSE)</f>
        <v>0</v>
      </c>
      <c r="AG546" s="6">
        <f>VLOOKUP(I542,I$1:$L$601,1,FALSE)</f>
        <v>45773</v>
      </c>
      <c r="AH546" s="6" t="str">
        <f>VLOOKUP(J542,J$1:$L$601,1,FALSE)</f>
        <v>AHMEDABAD</v>
      </c>
      <c r="AI546" s="6" t="str">
        <f>VLOOKUP(K542,K$1:$L$601,1,FALSE)</f>
        <v>B2C</v>
      </c>
      <c r="AJ546" s="6">
        <f>VLOOKUP(L542,L$1:$L$601,1,FALSE)</f>
        <v>576.66</v>
      </c>
    </row>
    <row r="547" spans="1:36" x14ac:dyDescent="0.25">
      <c r="A547">
        <v>1574</v>
      </c>
      <c r="B547" t="s">
        <v>597</v>
      </c>
      <c r="C547" t="s">
        <v>31</v>
      </c>
      <c r="D547" t="s">
        <v>32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19</v>
      </c>
      <c r="K547" t="s">
        <v>24</v>
      </c>
      <c r="L547" s="2">
        <v>-803.35</v>
      </c>
      <c r="Y547" s="6">
        <f>VLOOKUP(A543,A$1:$L$601,1,FALSE)</f>
        <v>1570</v>
      </c>
      <c r="Z547" s="6" t="str">
        <f>VLOOKUP(B543,B$1:$L$601,1,FALSE)</f>
        <v>William Aguilar</v>
      </c>
      <c r="AA547" s="6" t="str">
        <f>VLOOKUP(C543,C$1:$L$601,1,FALSE)</f>
        <v>Jackets</v>
      </c>
      <c r="AB547" s="6" t="str">
        <f>VLOOKUP(D543,D$1:$L$601,1,FALSE)</f>
        <v>Leather Jacket</v>
      </c>
      <c r="AC547" s="6">
        <f>VLOOKUP(E543,E$1:$L$601,1,FALSE)</f>
        <v>1</v>
      </c>
      <c r="AD547" s="6">
        <f>VLOOKUP(F543,F$1:$L$601,1,FALSE)</f>
        <v>4774.7700000000004</v>
      </c>
      <c r="AE547" s="6">
        <f>VLOOKUP(G543,G$1:$L$601,1,FALSE)</f>
        <v>0.96</v>
      </c>
      <c r="AF547" s="6">
        <f>VLOOKUP(H543,H$1:$L$601,1,FALSE)</f>
        <v>190.99</v>
      </c>
      <c r="AG547" s="6">
        <f>VLOOKUP(I543,I$1:$L$601,1,FALSE)</f>
        <v>45873</v>
      </c>
      <c r="AH547" s="6" t="str">
        <f>VLOOKUP(J543,J$1:$L$601,1,FALSE)</f>
        <v>MUMBAI</v>
      </c>
      <c r="AI547" s="6" t="str">
        <f>VLOOKUP(K543,K$1:$L$601,1,FALSE)</f>
        <v>B2C</v>
      </c>
      <c r="AJ547" s="6">
        <f>VLOOKUP(L543,L$1:$L$601,1,FALSE)</f>
        <v>-146.16999999999999</v>
      </c>
    </row>
    <row r="548" spans="1:36" x14ac:dyDescent="0.25">
      <c r="A548">
        <v>1575</v>
      </c>
      <c r="B548" t="s">
        <v>598</v>
      </c>
      <c r="C548" t="s">
        <v>36</v>
      </c>
      <c r="D548" t="s">
        <v>81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19</v>
      </c>
      <c r="K548" t="s">
        <v>16</v>
      </c>
      <c r="L548" s="2">
        <v>638.16</v>
      </c>
      <c r="Y548" s="6">
        <f>VLOOKUP(A544,A$1:$L$601,1,FALSE)</f>
        <v>1571</v>
      </c>
      <c r="Z548" s="6" t="str">
        <f>VLOOKUP(B544,B$1:$L$601,1,FALSE)</f>
        <v>William James</v>
      </c>
      <c r="AA548" s="6" t="str">
        <f>VLOOKUP(C544,C$1:$L$601,1,FALSE)</f>
        <v>Jackets</v>
      </c>
      <c r="AB548" s="6" t="str">
        <f>VLOOKUP(D544,D$1:$L$601,1,FALSE)</f>
        <v>Denim Jacket</v>
      </c>
      <c r="AC548" s="6">
        <f>VLOOKUP(E544,E$1:$L$601,1,FALSE)</f>
        <v>3</v>
      </c>
      <c r="AD548" s="6">
        <f>VLOOKUP(F544,F$1:$L$601,1,FALSE)</f>
        <v>1308.06</v>
      </c>
      <c r="AE548" s="6">
        <f>VLOOKUP(G544,G$1:$L$601,1,FALSE)</f>
        <v>0.69969696969696993</v>
      </c>
      <c r="AF548" s="6">
        <f>VLOOKUP(H544,H$1:$L$601,1,FALSE)</f>
        <v>0</v>
      </c>
      <c r="AG548" s="6">
        <f>VLOOKUP(I544,I$1:$L$601,1,FALSE)</f>
        <v>45626.838268792708</v>
      </c>
      <c r="AH548" s="6" t="str">
        <f>VLOOKUP(J544,J$1:$L$601,1,FALSE)</f>
        <v>PUNE</v>
      </c>
      <c r="AI548" s="6" t="str">
        <f>VLOOKUP(K544,K$1:$L$601,1,FALSE)</f>
        <v>B2C</v>
      </c>
      <c r="AJ548" s="6">
        <f>VLOOKUP(L544,L$1:$L$601,1,FALSE)</f>
        <v>-246.91</v>
      </c>
    </row>
    <row r="549" spans="1:36" x14ac:dyDescent="0.25">
      <c r="A549">
        <v>1576</v>
      </c>
      <c r="B549" t="s">
        <v>599</v>
      </c>
      <c r="C549" t="s">
        <v>21</v>
      </c>
      <c r="D549" t="s">
        <v>87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19</v>
      </c>
      <c r="K549" t="s">
        <v>24</v>
      </c>
      <c r="L549" s="2">
        <v>2554.79</v>
      </c>
      <c r="Y549" s="6">
        <f>VLOOKUP(A545,A$1:$L$601,1,FALSE)</f>
        <v>1572</v>
      </c>
      <c r="Z549" s="6" t="str">
        <f>VLOOKUP(B545,B$1:$L$601,1,FALSE)</f>
        <v>Ross Taylor</v>
      </c>
      <c r="AA549" s="6" t="str">
        <f>VLOOKUP(C545,C$1:$L$601,1,FALSE)</f>
        <v>Jackets</v>
      </c>
      <c r="AB549" s="6" t="str">
        <f>VLOOKUP(D545,D$1:$L$601,1,FALSE)</f>
        <v>Leather Jacket</v>
      </c>
      <c r="AC549" s="6">
        <f>VLOOKUP(E545,E$1:$L$601,1,FALSE)</f>
        <v>4</v>
      </c>
      <c r="AD549" s="6">
        <f>VLOOKUP(F545,F$1:$L$601,1,FALSE)</f>
        <v>2811.5702272727276</v>
      </c>
      <c r="AE549" s="6">
        <f>VLOOKUP(G545,G$1:$L$601,1,FALSE)</f>
        <v>0.82</v>
      </c>
      <c r="AF549" s="6">
        <f>VLOOKUP(H545,H$1:$L$601,1,FALSE)</f>
        <v>0</v>
      </c>
      <c r="AG549" s="6">
        <f>VLOOKUP(I545,I$1:$L$601,1,FALSE)</f>
        <v>45707</v>
      </c>
      <c r="AH549" s="6" t="str">
        <f>VLOOKUP(J545,J$1:$L$601,1,FALSE)</f>
        <v>DELHI</v>
      </c>
      <c r="AI549" s="6" t="str">
        <f>VLOOKUP(K545,K$1:$L$601,1,FALSE)</f>
        <v>B2C</v>
      </c>
      <c r="AJ549" s="6">
        <f>VLOOKUP(L545,L$1:$L$601,1,FALSE)</f>
        <v>534.6</v>
      </c>
    </row>
    <row r="550" spans="1:36" x14ac:dyDescent="0.25">
      <c r="A550">
        <v>1578</v>
      </c>
      <c r="B550" t="s">
        <v>600</v>
      </c>
      <c r="C550" t="s">
        <v>41</v>
      </c>
      <c r="D550" t="s">
        <v>59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29</v>
      </c>
      <c r="K550" t="s">
        <v>16</v>
      </c>
      <c r="L550" s="2">
        <v>2604.12</v>
      </c>
      <c r="Y550" s="6">
        <f>VLOOKUP(A546,A$1:$L$601,1,FALSE)</f>
        <v>1573</v>
      </c>
      <c r="Z550" s="6" t="str">
        <f>VLOOKUP(B546,B$1:$L$601,1,FALSE)</f>
        <v>Jeff Weaver</v>
      </c>
      <c r="AA550" s="6" t="str">
        <f>VLOOKUP(C546,C$1:$L$601,1,FALSE)</f>
        <v>Jeans</v>
      </c>
      <c r="AB550" s="6" t="str">
        <f>VLOOKUP(D546,D$1:$L$601,1,FALSE)</f>
        <v>Ripped Denim</v>
      </c>
      <c r="AC550" s="6">
        <f>VLOOKUP(E546,E$1:$L$601,1,FALSE)</f>
        <v>2.1052631578947367</v>
      </c>
      <c r="AD550" s="6">
        <f>VLOOKUP(F546,F$1:$L$601,1,FALSE)</f>
        <v>3972.78</v>
      </c>
      <c r="AE550" s="6">
        <f>VLOOKUP(G546,G$1:$L$601,1,FALSE)</f>
        <v>0.58977272727272723</v>
      </c>
      <c r="AF550" s="6">
        <f>VLOOKUP(H546,H$1:$L$601,1,FALSE)</f>
        <v>0</v>
      </c>
      <c r="AG550" s="6">
        <f>VLOOKUP(I546,I$1:$L$601,1,FALSE)</f>
        <v>45627</v>
      </c>
      <c r="AH550" s="6" t="str">
        <f>VLOOKUP(J546,J$1:$L$601,1,FALSE)</f>
        <v>HYDERBAD</v>
      </c>
      <c r="AI550" s="6" t="str">
        <f>VLOOKUP(K546,K$1:$L$601,1,FALSE)</f>
        <v>B2C</v>
      </c>
      <c r="AJ550" s="6">
        <f>VLOOKUP(L546,L$1:$L$601,1,FALSE)</f>
        <v>-902.58</v>
      </c>
    </row>
    <row r="551" spans="1:36" x14ac:dyDescent="0.25">
      <c r="A551">
        <v>1579</v>
      </c>
      <c r="B551" t="s">
        <v>601</v>
      </c>
      <c r="C551" t="s">
        <v>27</v>
      </c>
      <c r="D551" t="s">
        <v>85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33</v>
      </c>
      <c r="K551" t="s">
        <v>24</v>
      </c>
      <c r="L551" s="2">
        <v>-155.77000000000001</v>
      </c>
      <c r="Y551" s="6">
        <f>VLOOKUP(A547,A$1:$L$601,1,FALSE)</f>
        <v>1574</v>
      </c>
      <c r="Z551" s="6" t="str">
        <f>VLOOKUP(B547,B$1:$L$601,1,FALSE)</f>
        <v>Megan Rodriguez</v>
      </c>
      <c r="AA551" s="6" t="str">
        <f>VLOOKUP(C547,C$1:$L$601,1,FALSE)</f>
        <v>Accessories</v>
      </c>
      <c r="AB551" s="6" t="str">
        <f>VLOOKUP(D547,D$1:$L$601,1,FALSE)</f>
        <v>Belts</v>
      </c>
      <c r="AC551" s="6">
        <f>VLOOKUP(E547,E$1:$L$601,1,FALSE)</f>
        <v>1.5178571428571428</v>
      </c>
      <c r="AD551" s="6">
        <f>VLOOKUP(F547,F$1:$L$601,1,FALSE)</f>
        <v>2706.1301960784322</v>
      </c>
      <c r="AE551" s="6">
        <f>VLOOKUP(G547,G$1:$L$601,1,FALSE)</f>
        <v>0.70297297297297334</v>
      </c>
      <c r="AF551" s="6">
        <f>VLOOKUP(H547,H$1:$L$601,1,FALSE)</f>
        <v>0</v>
      </c>
      <c r="AG551" s="6">
        <f>VLOOKUP(I547,I$1:$L$601,1,FALSE)</f>
        <v>45729</v>
      </c>
      <c r="AH551" s="6" t="str">
        <f>VLOOKUP(J547,J$1:$L$601,1,FALSE)</f>
        <v>AHMEDABAD</v>
      </c>
      <c r="AI551" s="6" t="str">
        <f>VLOOKUP(K547,K$1:$L$601,1,FALSE)</f>
        <v>B2B</v>
      </c>
      <c r="AJ551" s="6">
        <f>VLOOKUP(L547,L$1:$L$601,1,FALSE)</f>
        <v>-803.35</v>
      </c>
    </row>
    <row r="552" spans="1:36" x14ac:dyDescent="0.25">
      <c r="A552">
        <v>1580</v>
      </c>
      <c r="B552" t="s">
        <v>602</v>
      </c>
      <c r="C552" t="s">
        <v>41</v>
      </c>
      <c r="D552" t="s">
        <v>63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33</v>
      </c>
      <c r="K552" t="s">
        <v>24</v>
      </c>
      <c r="L552" s="2">
        <v>-364.57</v>
      </c>
      <c r="Y552" s="6">
        <f>VLOOKUP(A548,A$1:$L$601,1,FALSE)</f>
        <v>1575</v>
      </c>
      <c r="Z552" s="6" t="str">
        <f>VLOOKUP(B548,B$1:$L$601,1,FALSE)</f>
        <v>Aaron Patel</v>
      </c>
      <c r="AA552" s="6" t="str">
        <f>VLOOKUP(C548,C$1:$L$601,1,FALSE)</f>
        <v>T-Shirts</v>
      </c>
      <c r="AB552" s="6" t="str">
        <f>VLOOKUP(D548,D$1:$L$601,1,FALSE)</f>
        <v>Graphic Tee</v>
      </c>
      <c r="AC552" s="6">
        <f>VLOOKUP(E548,E$1:$L$601,1,FALSE)</f>
        <v>1.5178571428571428</v>
      </c>
      <c r="AD552" s="6">
        <f>VLOOKUP(F548,F$1:$L$601,1,FALSE)</f>
        <v>615.07000000000005</v>
      </c>
      <c r="AE552" s="6">
        <f>VLOOKUP(G548,G$1:$L$601,1,FALSE)</f>
        <v>0.65787878787878773</v>
      </c>
      <c r="AF552" s="6">
        <f>VLOOKUP(H548,H$1:$L$601,1,FALSE)</f>
        <v>0</v>
      </c>
      <c r="AG552" s="6">
        <f>VLOOKUP(I548,I$1:$L$601,1,FALSE)</f>
        <v>45301</v>
      </c>
      <c r="AH552" s="6" t="str">
        <f>VLOOKUP(J548,J$1:$L$601,1,FALSE)</f>
        <v>AHMEDABAD</v>
      </c>
      <c r="AI552" s="6" t="str">
        <f>VLOOKUP(K548,K$1:$L$601,1,FALSE)</f>
        <v>B2C</v>
      </c>
      <c r="AJ552" s="6">
        <f>VLOOKUP(L548,L$1:$L$601,1,FALSE)</f>
        <v>638.16</v>
      </c>
    </row>
    <row r="553" spans="1:36" x14ac:dyDescent="0.25">
      <c r="A553">
        <v>1581</v>
      </c>
      <c r="B553" t="s">
        <v>603</v>
      </c>
      <c r="C553" t="s">
        <v>13</v>
      </c>
      <c r="D553" t="s">
        <v>51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  <c r="Y553" s="6">
        <f>VLOOKUP(A549,A$1:$L$601,1,FALSE)</f>
        <v>1576</v>
      </c>
      <c r="Z553" s="6" t="str">
        <f>VLOOKUP(B549,B$1:$L$601,1,FALSE)</f>
        <v>Rick Moran</v>
      </c>
      <c r="AA553" s="6" t="str">
        <f>VLOOKUP(C549,C$1:$L$601,1,FALSE)</f>
        <v>Jackets</v>
      </c>
      <c r="AB553" s="6" t="str">
        <f>VLOOKUP(D549,D$1:$L$601,1,FALSE)</f>
        <v>Denim Jacket</v>
      </c>
      <c r="AC553" s="6">
        <f>VLOOKUP(E549,E$1:$L$601,1,FALSE)</f>
        <v>1</v>
      </c>
      <c r="AD553" s="6">
        <f>VLOOKUP(F549,F$1:$L$601,1,FALSE)</f>
        <v>1882.14</v>
      </c>
      <c r="AE553" s="6">
        <f>VLOOKUP(G549,G$1:$L$601,1,FALSE)</f>
        <v>0.6</v>
      </c>
      <c r="AF553" s="6">
        <f>VLOOKUP(H549,H$1:$L$601,1,FALSE)</f>
        <v>752.86</v>
      </c>
      <c r="AG553" s="6">
        <f>VLOOKUP(I549,I$1:$L$601,1,FALSE)</f>
        <v>45778</v>
      </c>
      <c r="AH553" s="6" t="str">
        <f>VLOOKUP(J549,J$1:$L$601,1,FALSE)</f>
        <v>AHMEDABAD</v>
      </c>
      <c r="AI553" s="6" t="str">
        <f>VLOOKUP(K549,K$1:$L$601,1,FALSE)</f>
        <v>B2B</v>
      </c>
      <c r="AJ553" s="6">
        <f>VLOOKUP(L549,L$1:$L$601,1,FALSE)</f>
        <v>2554.79</v>
      </c>
    </row>
    <row r="554" spans="1:36" x14ac:dyDescent="0.25">
      <c r="A554">
        <v>1582</v>
      </c>
      <c r="B554" t="s">
        <v>604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23</v>
      </c>
      <c r="K554" t="s">
        <v>16</v>
      </c>
      <c r="L554" s="2">
        <v>-356.01</v>
      </c>
      <c r="Y554" s="6">
        <f>VLOOKUP(A550,A$1:$L$601,1,FALSE)</f>
        <v>1578</v>
      </c>
      <c r="Z554" s="6" t="str">
        <f>VLOOKUP(B550,B$1:$L$601,1,FALSE)</f>
        <v>Lauren Pearson</v>
      </c>
      <c r="AA554" s="6" t="str">
        <f>VLOOKUP(C550,C$1:$L$601,1,FALSE)</f>
        <v>Dresses</v>
      </c>
      <c r="AB554" s="6" t="str">
        <f>VLOOKUP(D550,D$1:$L$601,1,FALSE)</f>
        <v>Maxi Dress</v>
      </c>
      <c r="AC554" s="6">
        <f>VLOOKUP(E550,E$1:$L$601,1,FALSE)</f>
        <v>2.1864406779661016</v>
      </c>
      <c r="AD554" s="6">
        <f>VLOOKUP(F550,F$1:$L$601,1,FALSE)</f>
        <v>2949.9901960784309</v>
      </c>
      <c r="AE554" s="6">
        <f>VLOOKUP(G550,G$1:$L$601,1,FALSE)</f>
        <v>0.55000000000000004</v>
      </c>
      <c r="AF554" s="6">
        <f>VLOOKUP(H550,H$1:$L$601,1,FALSE)</f>
        <v>0</v>
      </c>
      <c r="AG554" s="6">
        <f>VLOOKUP(I550,I$1:$L$601,1,FALSE)</f>
        <v>45499</v>
      </c>
      <c r="AH554" s="6" t="str">
        <f>VLOOKUP(J550,J$1:$L$601,1,FALSE)</f>
        <v>BANGALORE</v>
      </c>
      <c r="AI554" s="6" t="str">
        <f>VLOOKUP(K550,K$1:$L$601,1,FALSE)</f>
        <v>B2C</v>
      </c>
      <c r="AJ554" s="6">
        <f>VLOOKUP(L550,L$1:$L$601,1,FALSE)</f>
        <v>2604.12</v>
      </c>
    </row>
    <row r="555" spans="1:36" x14ac:dyDescent="0.25">
      <c r="A555">
        <v>1583</v>
      </c>
      <c r="B555" t="s">
        <v>605</v>
      </c>
      <c r="C555" t="s">
        <v>41</v>
      </c>
      <c r="D555" t="s">
        <v>42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48</v>
      </c>
      <c r="K555" t="s">
        <v>24</v>
      </c>
      <c r="L555" s="2">
        <v>829.03</v>
      </c>
      <c r="Y555" s="6">
        <f>VLOOKUP(A551,A$1:$L$601,1,FALSE)</f>
        <v>1579</v>
      </c>
      <c r="Z555" s="6" t="str">
        <f>VLOOKUP(B551,B$1:$L$601,1,FALSE)</f>
        <v>Wesley Harper</v>
      </c>
      <c r="AA555" s="6" t="str">
        <f>VLOOKUP(C551,C$1:$L$601,1,FALSE)</f>
        <v>Shoes</v>
      </c>
      <c r="AB555" s="6" t="str">
        <f>VLOOKUP(D551,D$1:$L$601,1,FALSE)</f>
        <v>Boots</v>
      </c>
      <c r="AC555" s="6">
        <f>VLOOKUP(E551,E$1:$L$601,1,FALSE)</f>
        <v>3</v>
      </c>
      <c r="AD555" s="6">
        <f>VLOOKUP(F551,F$1:$L$601,1,FALSE)</f>
        <v>2557.4251351351354</v>
      </c>
      <c r="AE555" s="6">
        <f>VLOOKUP(G551,G$1:$L$601,1,FALSE)</f>
        <v>0.59740740740740739</v>
      </c>
      <c r="AF555" s="6">
        <f>VLOOKUP(H551,H$1:$L$601,1,FALSE)</f>
        <v>0</v>
      </c>
      <c r="AG555" s="6">
        <f>VLOOKUP(I551,I$1:$L$601,1,FALSE)</f>
        <v>45706</v>
      </c>
      <c r="AH555" s="6" t="str">
        <f>VLOOKUP(J551,J$1:$L$601,1,FALSE)</f>
        <v>HYDERBAD</v>
      </c>
      <c r="AI555" s="6" t="str">
        <f>VLOOKUP(K551,K$1:$L$601,1,FALSE)</f>
        <v>B2B</v>
      </c>
      <c r="AJ555" s="6">
        <f>VLOOKUP(L551,L$1:$L$601,1,FALSE)</f>
        <v>-155.77000000000001</v>
      </c>
    </row>
    <row r="556" spans="1:36" x14ac:dyDescent="0.25">
      <c r="A556">
        <v>1584</v>
      </c>
      <c r="B556" t="s">
        <v>606</v>
      </c>
      <c r="C556" t="s">
        <v>41</v>
      </c>
      <c r="D556" t="s">
        <v>90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19</v>
      </c>
      <c r="K556" t="s">
        <v>24</v>
      </c>
      <c r="L556" s="2">
        <v>2853.8</v>
      </c>
      <c r="Y556" s="6">
        <f>VLOOKUP(A552,A$1:$L$601,1,FALSE)</f>
        <v>1580</v>
      </c>
      <c r="Z556" s="6" t="str">
        <f>VLOOKUP(B552,B$1:$L$601,1,FALSE)</f>
        <v>Faith Ray</v>
      </c>
      <c r="AA556" s="6" t="str">
        <f>VLOOKUP(C552,C$1:$L$601,1,FALSE)</f>
        <v>Dresses</v>
      </c>
      <c r="AB556" s="6" t="str">
        <f>VLOOKUP(D552,D$1:$L$601,1,FALSE)</f>
        <v>Wrap Dress</v>
      </c>
      <c r="AC556" s="6">
        <f>VLOOKUP(E552,E$1:$L$601,1,FALSE)</f>
        <v>2.1864406779661016</v>
      </c>
      <c r="AD556" s="6">
        <f>VLOOKUP(F552,F$1:$L$601,1,FALSE)</f>
        <v>2949.9901960784309</v>
      </c>
      <c r="AE556" s="6">
        <f>VLOOKUP(G552,G$1:$L$601,1,FALSE)</f>
        <v>0.55000000000000004</v>
      </c>
      <c r="AF556" s="6">
        <f>VLOOKUP(H552,H$1:$L$601,1,FALSE)</f>
        <v>0</v>
      </c>
      <c r="AG556" s="6">
        <f>VLOOKUP(I552,I$1:$L$601,1,FALSE)</f>
        <v>45830</v>
      </c>
      <c r="AH556" s="6" t="str">
        <f>VLOOKUP(J552,J$1:$L$601,1,FALSE)</f>
        <v>HYDERBAD</v>
      </c>
      <c r="AI556" s="6" t="str">
        <f>VLOOKUP(K552,K$1:$L$601,1,FALSE)</f>
        <v>B2B</v>
      </c>
      <c r="AJ556" s="6">
        <f>VLOOKUP(L552,L$1:$L$601,1,FALSE)</f>
        <v>-364.57</v>
      </c>
    </row>
    <row r="557" spans="1:36" x14ac:dyDescent="0.25">
      <c r="A557">
        <v>1585</v>
      </c>
      <c r="B557" t="s">
        <v>607</v>
      </c>
      <c r="C557" t="s">
        <v>27</v>
      </c>
      <c r="D557" t="s">
        <v>55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  <c r="Y557" s="6">
        <f>VLOOKUP(A553,A$1:$L$601,1,FALSE)</f>
        <v>1581</v>
      </c>
      <c r="Z557" s="6" t="str">
        <f>VLOOKUP(B553,B$1:$L$601,1,FALSE)</f>
        <v>Donald Brown</v>
      </c>
      <c r="AA557" s="6" t="str">
        <f>VLOOKUP(C553,C$1:$L$601,1,FALSE)</f>
        <v>Jeans</v>
      </c>
      <c r="AB557" s="6" t="str">
        <f>VLOOKUP(D553,D$1:$L$601,1,FALSE)</f>
        <v>Straight Cut</v>
      </c>
      <c r="AC557" s="6">
        <f>VLOOKUP(E553,E$1:$L$601,1,FALSE)</f>
        <v>2.1052631578947367</v>
      </c>
      <c r="AD557" s="6">
        <f>VLOOKUP(F553,F$1:$L$601,1,FALSE)</f>
        <v>2676.4254237288142</v>
      </c>
      <c r="AE557" s="6">
        <f>VLOOKUP(G553,G$1:$L$601,1,FALSE)</f>
        <v>0.58977272727272723</v>
      </c>
      <c r="AF557" s="6">
        <f>VLOOKUP(H553,H$1:$L$601,1,FALSE)</f>
        <v>0</v>
      </c>
      <c r="AG557" s="6">
        <f>VLOOKUP(I553,I$1:$L$601,1,FALSE)</f>
        <v>45834</v>
      </c>
      <c r="AH557" s="6" t="str">
        <f>VLOOKUP(J553,J$1:$L$601,1,FALSE)</f>
        <v>DELHI</v>
      </c>
      <c r="AI557" s="6" t="str">
        <f>VLOOKUP(K553,K$1:$L$601,1,FALSE)</f>
        <v>B2C</v>
      </c>
      <c r="AJ557" s="6">
        <f>VLOOKUP(L553,L$1:$L$601,1,FALSE)</f>
        <v>1109.06</v>
      </c>
    </row>
    <row r="558" spans="1:36" x14ac:dyDescent="0.25">
      <c r="A558">
        <v>1586</v>
      </c>
      <c r="B558" t="s">
        <v>608</v>
      </c>
      <c r="C558" t="s">
        <v>27</v>
      </c>
      <c r="D558" t="s">
        <v>28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48</v>
      </c>
      <c r="K558" t="s">
        <v>24</v>
      </c>
      <c r="L558" s="2">
        <v>1765.79</v>
      </c>
      <c r="Y558" s="6">
        <f>VLOOKUP(A554,A$1:$L$601,1,FALSE)</f>
        <v>1582</v>
      </c>
      <c r="Z558" s="6" t="str">
        <f>VLOOKUP(B554,B$1:$L$601,1,FALSE)</f>
        <v>David Noble</v>
      </c>
      <c r="AA558" s="6" t="str">
        <f>VLOOKUP(C554,C$1:$L$601,1,FALSE)</f>
        <v>Jeans</v>
      </c>
      <c r="AB558" s="6" t="str">
        <f>VLOOKUP(D554,D$1:$L$601,1,FALSE)</f>
        <v>Slim Fit Jeans</v>
      </c>
      <c r="AC558" s="6">
        <f>VLOOKUP(E554,E$1:$L$601,1,FALSE)</f>
        <v>1</v>
      </c>
      <c r="AD558" s="6">
        <f>VLOOKUP(F554,F$1:$L$601,1,FALSE)</f>
        <v>4809.8999999999996</v>
      </c>
      <c r="AE558" s="6">
        <f>VLOOKUP(G554,G$1:$L$601,1,FALSE)</f>
        <v>0.92</v>
      </c>
      <c r="AF558" s="6">
        <f>VLOOKUP(H554,H$1:$L$601,1,FALSE)</f>
        <v>384.79</v>
      </c>
      <c r="AG558" s="6">
        <f>VLOOKUP(I554,I$1:$L$601,1,FALSE)</f>
        <v>45563</v>
      </c>
      <c r="AH558" s="6" t="str">
        <f>VLOOKUP(J554,J$1:$L$601,1,FALSE)</f>
        <v>MUMBAI</v>
      </c>
      <c r="AI558" s="6" t="str">
        <f>VLOOKUP(K554,K$1:$L$601,1,FALSE)</f>
        <v>B2C</v>
      </c>
      <c r="AJ558" s="6">
        <f>VLOOKUP(L554,L$1:$L$601,1,FALSE)</f>
        <v>-356.01</v>
      </c>
    </row>
    <row r="559" spans="1:36" x14ac:dyDescent="0.25">
      <c r="A559">
        <v>1587</v>
      </c>
      <c r="B559" t="s">
        <v>609</v>
      </c>
      <c r="C559" t="s">
        <v>27</v>
      </c>
      <c r="D559" t="s">
        <v>28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23</v>
      </c>
      <c r="K559" t="s">
        <v>16</v>
      </c>
      <c r="L559" s="2">
        <v>1376.9</v>
      </c>
      <c r="Y559" s="6">
        <f>VLOOKUP(A555,A$1:$L$601,1,FALSE)</f>
        <v>1583</v>
      </c>
      <c r="Z559" s="6" t="str">
        <f>VLOOKUP(B555,B$1:$L$601,1,FALSE)</f>
        <v>Anthony Calhoun</v>
      </c>
      <c r="AA559" s="6" t="str">
        <f>VLOOKUP(C555,C$1:$L$601,1,FALSE)</f>
        <v>Dresses</v>
      </c>
      <c r="AB559" s="6" t="str">
        <f>VLOOKUP(D555,D$1:$L$601,1,FALSE)</f>
        <v>Casual Midi</v>
      </c>
      <c r="AC559" s="6">
        <f>VLOOKUP(E555,E$1:$L$601,1,FALSE)</f>
        <v>2.1864406779661016</v>
      </c>
      <c r="AD559" s="6">
        <f>VLOOKUP(F555,F$1:$L$601,1,FALSE)</f>
        <v>2949.9901960784309</v>
      </c>
      <c r="AE559" s="6">
        <f>VLOOKUP(G555,G$1:$L$601,1,FALSE)</f>
        <v>0.55000000000000004</v>
      </c>
      <c r="AF559" s="6">
        <f>VLOOKUP(H555,H$1:$L$601,1,FALSE)</f>
        <v>0</v>
      </c>
      <c r="AG559" s="6">
        <f>VLOOKUP(I555,I$1:$L$601,1,FALSE)</f>
        <v>45380</v>
      </c>
      <c r="AH559" s="6" t="str">
        <f>VLOOKUP(J555,J$1:$L$601,1,FALSE)</f>
        <v>PUNE</v>
      </c>
      <c r="AI559" s="6" t="str">
        <f>VLOOKUP(K555,K$1:$L$601,1,FALSE)</f>
        <v>B2B</v>
      </c>
      <c r="AJ559" s="6">
        <f>VLOOKUP(L555,L$1:$L$601,1,FALSE)</f>
        <v>829.03</v>
      </c>
    </row>
    <row r="560" spans="1:36" x14ac:dyDescent="0.25">
      <c r="A560">
        <v>1588</v>
      </c>
      <c r="B560" t="s">
        <v>610</v>
      </c>
      <c r="C560" t="s">
        <v>31</v>
      </c>
      <c r="D560" t="s">
        <v>44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24</v>
      </c>
      <c r="L560" s="2">
        <v>526.32000000000005</v>
      </c>
      <c r="Y560" s="6">
        <f>VLOOKUP(A556,A$1:$L$601,1,FALSE)</f>
        <v>1584</v>
      </c>
      <c r="Z560" s="6" t="str">
        <f>VLOOKUP(B556,B$1:$L$601,1,FALSE)</f>
        <v>Bryan Hughes</v>
      </c>
      <c r="AA560" s="6" t="str">
        <f>VLOOKUP(C556,C$1:$L$601,1,FALSE)</f>
        <v>Dresses</v>
      </c>
      <c r="AB560" s="6" t="str">
        <f>VLOOKUP(D556,D$1:$L$601,1,FALSE)</f>
        <v>Bodycon</v>
      </c>
      <c r="AC560" s="6">
        <f>VLOOKUP(E556,E$1:$L$601,1,FALSE)</f>
        <v>5</v>
      </c>
      <c r="AD560" s="6">
        <f>VLOOKUP(F556,F$1:$L$601,1,FALSE)</f>
        <v>2949.9901960784309</v>
      </c>
      <c r="AE560" s="6">
        <f>VLOOKUP(G556,G$1:$L$601,1,FALSE)</f>
        <v>0.15</v>
      </c>
      <c r="AF560" s="6">
        <f>VLOOKUP(H556,H$1:$L$601,1,FALSE)</f>
        <v>0</v>
      </c>
      <c r="AG560" s="6">
        <f>VLOOKUP(I556,I$1:$L$601,1,FALSE)</f>
        <v>45531</v>
      </c>
      <c r="AH560" s="6" t="str">
        <f>VLOOKUP(J556,J$1:$L$601,1,FALSE)</f>
        <v>AHMEDABAD</v>
      </c>
      <c r="AI560" s="6" t="str">
        <f>VLOOKUP(K556,K$1:$L$601,1,FALSE)</f>
        <v>B2B</v>
      </c>
      <c r="AJ560" s="6">
        <f>VLOOKUP(L556,L$1:$L$601,1,FALSE)</f>
        <v>2853.8</v>
      </c>
    </row>
    <row r="561" spans="1:36" x14ac:dyDescent="0.25">
      <c r="A561">
        <v>1589</v>
      </c>
      <c r="B561" t="s">
        <v>611</v>
      </c>
      <c r="C561" t="s">
        <v>27</v>
      </c>
      <c r="D561" t="s">
        <v>28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23</v>
      </c>
      <c r="K561" t="s">
        <v>16</v>
      </c>
      <c r="L561" s="2">
        <v>2617.9899999999998</v>
      </c>
      <c r="Y561" s="6">
        <f>VLOOKUP(A557,A$1:$L$601,1,FALSE)</f>
        <v>1585</v>
      </c>
      <c r="Z561" s="6" t="str">
        <f>VLOOKUP(B557,B$1:$L$601,1,FALSE)</f>
        <v>Tina Keith</v>
      </c>
      <c r="AA561" s="6" t="str">
        <f>VLOOKUP(C557,C$1:$L$601,1,FALSE)</f>
        <v>Shoes</v>
      </c>
      <c r="AB561" s="6" t="str">
        <f>VLOOKUP(D557,D$1:$L$601,1,FALSE)</f>
        <v>Sneakers</v>
      </c>
      <c r="AC561" s="6">
        <f>VLOOKUP(E557,E$1:$L$601,1,FALSE)</f>
        <v>1.5178571428571428</v>
      </c>
      <c r="AD561" s="6">
        <f>VLOOKUP(F557,F$1:$L$601,1,FALSE)</f>
        <v>2738.72</v>
      </c>
      <c r="AE561" s="6">
        <f>VLOOKUP(G557,G$1:$L$601,1,FALSE)</f>
        <v>0.89</v>
      </c>
      <c r="AF561" s="6">
        <f>VLOOKUP(H557,H$1:$L$601,1,FALSE)</f>
        <v>-602.52</v>
      </c>
      <c r="AG561" s="6">
        <f>VLOOKUP(I557,I$1:$L$601,1,FALSE)</f>
        <v>45607</v>
      </c>
      <c r="AH561" s="6" t="str">
        <f>VLOOKUP(J557,J$1:$L$601,1,FALSE)</f>
        <v>DELHI</v>
      </c>
      <c r="AI561" s="6" t="str">
        <f>VLOOKUP(K557,K$1:$L$601,1,FALSE)</f>
        <v>B2C</v>
      </c>
      <c r="AJ561" s="6">
        <f>VLOOKUP(L557,L$1:$L$601,1,FALSE)</f>
        <v>-709.13</v>
      </c>
    </row>
    <row r="562" spans="1:36" x14ac:dyDescent="0.25">
      <c r="A562">
        <v>1590</v>
      </c>
      <c r="B562" t="s">
        <v>612</v>
      </c>
      <c r="C562" t="s">
        <v>41</v>
      </c>
      <c r="D562" t="s">
        <v>59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29</v>
      </c>
      <c r="K562" t="s">
        <v>24</v>
      </c>
      <c r="L562" s="2">
        <v>-104.43</v>
      </c>
      <c r="Y562" s="6">
        <f>VLOOKUP(A558,A$1:$L$601,1,FALSE)</f>
        <v>1586</v>
      </c>
      <c r="Z562" s="6" t="str">
        <f>VLOOKUP(B558,B$1:$L$601,1,FALSE)</f>
        <v>Scott Carroll</v>
      </c>
      <c r="AA562" s="6" t="str">
        <f>VLOOKUP(C558,C$1:$L$601,1,FALSE)</f>
        <v>Shoes</v>
      </c>
      <c r="AB562" s="6" t="str">
        <f>VLOOKUP(D558,D$1:$L$601,1,FALSE)</f>
        <v>Loafers</v>
      </c>
      <c r="AC562" s="6">
        <f>VLOOKUP(E558,E$1:$L$601,1,FALSE)</f>
        <v>1.6216216216216217</v>
      </c>
      <c r="AD562" s="6">
        <f>VLOOKUP(F558,F$1:$L$601,1,FALSE)</f>
        <v>2557.4251351351354</v>
      </c>
      <c r="AE562" s="6">
        <f>VLOOKUP(G558,G$1:$L$601,1,FALSE)</f>
        <v>0.78</v>
      </c>
      <c r="AF562" s="6">
        <f>VLOOKUP(H558,H$1:$L$601,1,FALSE)</f>
        <v>0</v>
      </c>
      <c r="AG562" s="6">
        <f>VLOOKUP(I558,I$1:$L$601,1,FALSE)</f>
        <v>45508</v>
      </c>
      <c r="AH562" s="6" t="str">
        <f>VLOOKUP(J558,J$1:$L$601,1,FALSE)</f>
        <v>PUNE</v>
      </c>
      <c r="AI562" s="6" t="str">
        <f>VLOOKUP(K558,K$1:$L$601,1,FALSE)</f>
        <v>B2B</v>
      </c>
      <c r="AJ562" s="6">
        <f>VLOOKUP(L558,L$1:$L$601,1,FALSE)</f>
        <v>1765.79</v>
      </c>
    </row>
    <row r="563" spans="1:36" x14ac:dyDescent="0.25">
      <c r="A563">
        <v>1591</v>
      </c>
      <c r="B563" t="s">
        <v>613</v>
      </c>
      <c r="C563" t="s">
        <v>36</v>
      </c>
      <c r="D563" t="s">
        <v>81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23</v>
      </c>
      <c r="K563" t="s">
        <v>16</v>
      </c>
      <c r="L563" s="2">
        <v>158.05000000000001</v>
      </c>
      <c r="Y563" s="6">
        <f>VLOOKUP(A559,A$1:$L$601,1,FALSE)</f>
        <v>1587</v>
      </c>
      <c r="Z563" s="6" t="str">
        <f>VLOOKUP(B559,B$1:$L$601,1,FALSE)</f>
        <v>Leslie Jones</v>
      </c>
      <c r="AA563" s="6" t="str">
        <f>VLOOKUP(C559,C$1:$L$601,1,FALSE)</f>
        <v>Shoes</v>
      </c>
      <c r="AB563" s="6" t="str">
        <f>VLOOKUP(D559,D$1:$L$601,1,FALSE)</f>
        <v>Loafers</v>
      </c>
      <c r="AC563" s="6">
        <f>VLOOKUP(E559,E$1:$L$601,1,FALSE)</f>
        <v>1.5178571428571428</v>
      </c>
      <c r="AD563" s="6">
        <f>VLOOKUP(F559,F$1:$L$601,1,FALSE)</f>
        <v>2557.4251351351354</v>
      </c>
      <c r="AE563" s="6">
        <f>VLOOKUP(G559,G$1:$L$601,1,FALSE)</f>
        <v>0.59740740740740739</v>
      </c>
      <c r="AF563" s="6">
        <f>VLOOKUP(H559,H$1:$L$601,1,FALSE)</f>
        <v>0</v>
      </c>
      <c r="AG563" s="6">
        <f>VLOOKUP(I559,I$1:$L$601,1,FALSE)</f>
        <v>45626.838268792708</v>
      </c>
      <c r="AH563" s="6" t="str">
        <f>VLOOKUP(J559,J$1:$L$601,1,FALSE)</f>
        <v>MUMBAI</v>
      </c>
      <c r="AI563" s="6" t="str">
        <f>VLOOKUP(K559,K$1:$L$601,1,FALSE)</f>
        <v>B2C</v>
      </c>
      <c r="AJ563" s="6">
        <f>VLOOKUP(L559,L$1:$L$601,1,FALSE)</f>
        <v>1376.9</v>
      </c>
    </row>
    <row r="564" spans="1:36" x14ac:dyDescent="0.25">
      <c r="A564">
        <v>1592</v>
      </c>
      <c r="B564" t="s">
        <v>614</v>
      </c>
      <c r="C564" t="s">
        <v>27</v>
      </c>
      <c r="D564" t="s">
        <v>55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23</v>
      </c>
      <c r="K564" t="s">
        <v>16</v>
      </c>
      <c r="L564" s="2">
        <v>619.25</v>
      </c>
      <c r="Y564" s="6">
        <f>VLOOKUP(A560,A$1:$L$601,1,FALSE)</f>
        <v>1588</v>
      </c>
      <c r="Z564" s="6" t="str">
        <f>VLOOKUP(B560,B$1:$L$601,1,FALSE)</f>
        <v>Amanda Wilkinson</v>
      </c>
      <c r="AA564" s="6" t="str">
        <f>VLOOKUP(C560,C$1:$L$601,1,FALSE)</f>
        <v>Accessories</v>
      </c>
      <c r="AB564" s="6" t="str">
        <f>VLOOKUP(D560,D$1:$L$601,1,FALSE)</f>
        <v>Sunglasses</v>
      </c>
      <c r="AC564" s="6">
        <f>VLOOKUP(E560,E$1:$L$601,1,FALSE)</f>
        <v>1</v>
      </c>
      <c r="AD564" s="6">
        <f>VLOOKUP(F560,F$1:$L$601,1,FALSE)</f>
        <v>2706.1301960784322</v>
      </c>
      <c r="AE564" s="6">
        <f>VLOOKUP(G560,G$1:$L$601,1,FALSE)</f>
        <v>0.70297297297297334</v>
      </c>
      <c r="AF564" s="6">
        <f>VLOOKUP(H560,H$1:$L$601,1,FALSE)</f>
        <v>0</v>
      </c>
      <c r="AG564" s="6">
        <f>VLOOKUP(I560,I$1:$L$601,1,FALSE)</f>
        <v>45780</v>
      </c>
      <c r="AH564" s="6" t="str">
        <f>VLOOKUP(J560,J$1:$L$601,1,FALSE)</f>
        <v>DELHI</v>
      </c>
      <c r="AI564" s="6" t="str">
        <f>VLOOKUP(K560,K$1:$L$601,1,FALSE)</f>
        <v>B2B</v>
      </c>
      <c r="AJ564" s="6">
        <f>VLOOKUP(L560,L$1:$L$601,1,FALSE)</f>
        <v>526.32000000000005</v>
      </c>
    </row>
    <row r="565" spans="1:36" x14ac:dyDescent="0.25">
      <c r="A565">
        <v>1593</v>
      </c>
      <c r="B565" t="s">
        <v>615</v>
      </c>
      <c r="C565" t="s">
        <v>36</v>
      </c>
      <c r="D565" t="s">
        <v>81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23</v>
      </c>
      <c r="K565" t="s">
        <v>16</v>
      </c>
      <c r="L565" s="2">
        <v>2598.9299999999998</v>
      </c>
      <c r="Y565" s="6">
        <f>VLOOKUP(A561,A$1:$L$601,1,FALSE)</f>
        <v>1589</v>
      </c>
      <c r="Z565" s="6" t="str">
        <f>VLOOKUP(B561,B$1:$L$601,1,FALSE)</f>
        <v>Scott Davis</v>
      </c>
      <c r="AA565" s="6" t="str">
        <f>VLOOKUP(C561,C$1:$L$601,1,FALSE)</f>
        <v>Shoes</v>
      </c>
      <c r="AB565" s="6" t="str">
        <f>VLOOKUP(D561,D$1:$L$601,1,FALSE)</f>
        <v>Loafers</v>
      </c>
      <c r="AC565" s="6">
        <f>VLOOKUP(E561,E$1:$L$601,1,FALSE)</f>
        <v>1.6216216216216217</v>
      </c>
      <c r="AD565" s="6">
        <f>VLOOKUP(F561,F$1:$L$601,1,FALSE)</f>
        <v>527.07000000000005</v>
      </c>
      <c r="AE565" s="6">
        <f>VLOOKUP(G561,G$1:$L$601,1,FALSE)</f>
        <v>0.45</v>
      </c>
      <c r="AF565" s="6">
        <f>VLOOKUP(H561,H$1:$L$601,1,FALSE)</f>
        <v>0</v>
      </c>
      <c r="AG565" s="6">
        <f>VLOOKUP(I561,I$1:$L$601,1,FALSE)</f>
        <v>45626.838268792708</v>
      </c>
      <c r="AH565" s="6" t="str">
        <f>VLOOKUP(J561,J$1:$L$601,1,FALSE)</f>
        <v>MUMBAI</v>
      </c>
      <c r="AI565" s="6" t="str">
        <f>VLOOKUP(K561,K$1:$L$601,1,FALSE)</f>
        <v>B2C</v>
      </c>
      <c r="AJ565" s="6">
        <f>VLOOKUP(L561,L$1:$L$601,1,FALSE)</f>
        <v>2617.9899999999998</v>
      </c>
    </row>
    <row r="566" spans="1:36" x14ac:dyDescent="0.25">
      <c r="A566">
        <v>1594</v>
      </c>
      <c r="B566" t="s">
        <v>616</v>
      </c>
      <c r="C566" t="s">
        <v>13</v>
      </c>
      <c r="D566" t="s">
        <v>51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29</v>
      </c>
      <c r="K566" t="s">
        <v>16</v>
      </c>
      <c r="L566" s="2">
        <v>346.37</v>
      </c>
      <c r="Y566" s="6">
        <f>VLOOKUP(A562,A$1:$L$601,1,FALSE)</f>
        <v>1590</v>
      </c>
      <c r="Z566" s="6" t="str">
        <f>VLOOKUP(B562,B$1:$L$601,1,FALSE)</f>
        <v>Jesse Kennedy</v>
      </c>
      <c r="AA566" s="6" t="str">
        <f>VLOOKUP(C562,C$1:$L$601,1,FALSE)</f>
        <v>Dresses</v>
      </c>
      <c r="AB566" s="6" t="str">
        <f>VLOOKUP(D562,D$1:$L$601,1,FALSE)</f>
        <v>Maxi Dress</v>
      </c>
      <c r="AC566" s="6">
        <f>VLOOKUP(E562,E$1:$L$601,1,FALSE)</f>
        <v>6</v>
      </c>
      <c r="AD566" s="6">
        <f>VLOOKUP(F562,F$1:$L$601,1,FALSE)</f>
        <v>2949.9901960784309</v>
      </c>
      <c r="AE566" s="6">
        <f>VLOOKUP(G562,G$1:$L$601,1,FALSE)</f>
        <v>0.67</v>
      </c>
      <c r="AF566" s="6">
        <f>VLOOKUP(H562,H$1:$L$601,1,FALSE)</f>
        <v>0</v>
      </c>
      <c r="AG566" s="6">
        <f>VLOOKUP(I562,I$1:$L$601,1,FALSE)</f>
        <v>45626.838268792708</v>
      </c>
      <c r="AH566" s="6" t="str">
        <f>VLOOKUP(J562,J$1:$L$601,1,FALSE)</f>
        <v>BANGALORE</v>
      </c>
      <c r="AI566" s="6" t="str">
        <f>VLOOKUP(K562,K$1:$L$601,1,FALSE)</f>
        <v>B2B</v>
      </c>
      <c r="AJ566" s="6">
        <f>VLOOKUP(L562,L$1:$L$601,1,FALSE)</f>
        <v>-104.43</v>
      </c>
    </row>
    <row r="567" spans="1:36" x14ac:dyDescent="0.25">
      <c r="A567">
        <v>1595</v>
      </c>
      <c r="B567" t="s">
        <v>617</v>
      </c>
      <c r="C567" t="s">
        <v>41</v>
      </c>
      <c r="D567" t="s">
        <v>90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23</v>
      </c>
      <c r="K567" t="s">
        <v>16</v>
      </c>
      <c r="L567" s="2">
        <v>1483.7</v>
      </c>
      <c r="Y567" s="6">
        <f>VLOOKUP(A563,A$1:$L$601,1,FALSE)</f>
        <v>1591</v>
      </c>
      <c r="Z567" s="6" t="str">
        <f>VLOOKUP(B563,B$1:$L$601,1,FALSE)</f>
        <v>Bradley Lewis</v>
      </c>
      <c r="AA567" s="6" t="str">
        <f>VLOOKUP(C563,C$1:$L$601,1,FALSE)</f>
        <v>T-Shirts</v>
      </c>
      <c r="AB567" s="6" t="str">
        <f>VLOOKUP(D563,D$1:$L$601,1,FALSE)</f>
        <v>Graphic Tee</v>
      </c>
      <c r="AC567" s="6">
        <f>VLOOKUP(E563,E$1:$L$601,1,FALSE)</f>
        <v>1.5178571428571428</v>
      </c>
      <c r="AD567" s="6">
        <f>VLOOKUP(F563,F$1:$L$601,1,FALSE)</f>
        <v>2742.2927659574466</v>
      </c>
      <c r="AE567" s="6">
        <f>VLOOKUP(G563,G$1:$L$601,1,FALSE)</f>
        <v>0.65787878787878773</v>
      </c>
      <c r="AF567" s="6">
        <f>VLOOKUP(H563,H$1:$L$601,1,FALSE)</f>
        <v>0</v>
      </c>
      <c r="AG567" s="6">
        <f>VLOOKUP(I563,I$1:$L$601,1,FALSE)</f>
        <v>45808</v>
      </c>
      <c r="AH567" s="6" t="str">
        <f>VLOOKUP(J563,J$1:$L$601,1,FALSE)</f>
        <v>MUMBAI</v>
      </c>
      <c r="AI567" s="6" t="str">
        <f>VLOOKUP(K563,K$1:$L$601,1,FALSE)</f>
        <v>B2C</v>
      </c>
      <c r="AJ567" s="6">
        <f>VLOOKUP(L563,L$1:$L$601,1,FALSE)</f>
        <v>158.05000000000001</v>
      </c>
    </row>
    <row r="568" spans="1:36" x14ac:dyDescent="0.25">
      <c r="A568">
        <v>1596</v>
      </c>
      <c r="B568" t="s">
        <v>618</v>
      </c>
      <c r="C568" t="s">
        <v>21</v>
      </c>
      <c r="D568" t="s">
        <v>22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19</v>
      </c>
      <c r="K568" t="s">
        <v>24</v>
      </c>
      <c r="L568" s="2">
        <v>-871.38</v>
      </c>
      <c r="Y568" s="6">
        <f>VLOOKUP(A564,A$1:$L$601,1,FALSE)</f>
        <v>1592</v>
      </c>
      <c r="Z568" s="6" t="str">
        <f>VLOOKUP(B564,B$1:$L$601,1,FALSE)</f>
        <v>Casey Sparks</v>
      </c>
      <c r="AA568" s="6" t="str">
        <f>VLOOKUP(C564,C$1:$L$601,1,FALSE)</f>
        <v>Shoes</v>
      </c>
      <c r="AB568" s="6" t="str">
        <f>VLOOKUP(D564,D$1:$L$601,1,FALSE)</f>
        <v>Sneakers</v>
      </c>
      <c r="AC568" s="6">
        <f>VLOOKUP(E564,E$1:$L$601,1,FALSE)</f>
        <v>5</v>
      </c>
      <c r="AD568" s="6">
        <f>VLOOKUP(F564,F$1:$L$601,1,FALSE)</f>
        <v>2557.4251351351354</v>
      </c>
      <c r="AE568" s="6">
        <f>VLOOKUP(G564,G$1:$L$601,1,FALSE)</f>
        <v>0.52</v>
      </c>
      <c r="AF568" s="6">
        <f>VLOOKUP(H564,H$1:$L$601,1,FALSE)</f>
        <v>0</v>
      </c>
      <c r="AG568" s="6">
        <f>VLOOKUP(I564,I$1:$L$601,1,FALSE)</f>
        <v>45657</v>
      </c>
      <c r="AH568" s="6" t="str">
        <f>VLOOKUP(J564,J$1:$L$601,1,FALSE)</f>
        <v>MUMBAI</v>
      </c>
      <c r="AI568" s="6" t="str">
        <f>VLOOKUP(K564,K$1:$L$601,1,FALSE)</f>
        <v>B2C</v>
      </c>
      <c r="AJ568" s="6">
        <f>VLOOKUP(L564,L$1:$L$601,1,FALSE)</f>
        <v>619.25</v>
      </c>
    </row>
    <row r="569" spans="1:36" x14ac:dyDescent="0.25">
      <c r="A569">
        <v>1597</v>
      </c>
      <c r="B569" t="s">
        <v>619</v>
      </c>
      <c r="C569" t="s">
        <v>36</v>
      </c>
      <c r="D569" t="s">
        <v>37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  <c r="Y569" s="6">
        <f>VLOOKUP(A565,A$1:$L$601,1,FALSE)</f>
        <v>1593</v>
      </c>
      <c r="Z569" s="6" t="str">
        <f>VLOOKUP(B565,B$1:$L$601,1,FALSE)</f>
        <v>Kristen Hernandez</v>
      </c>
      <c r="AA569" s="6" t="str">
        <f>VLOOKUP(C565,C$1:$L$601,1,FALSE)</f>
        <v>T-Shirts</v>
      </c>
      <c r="AB569" s="6" t="str">
        <f>VLOOKUP(D565,D$1:$L$601,1,FALSE)</f>
        <v>Graphic Tee</v>
      </c>
      <c r="AC569" s="6">
        <f>VLOOKUP(E565,E$1:$L$601,1,FALSE)</f>
        <v>1.5178571428571428</v>
      </c>
      <c r="AD569" s="6">
        <f>VLOOKUP(F565,F$1:$L$601,1,FALSE)</f>
        <v>2742.2927659574466</v>
      </c>
      <c r="AE569" s="6">
        <f>VLOOKUP(G565,G$1:$L$601,1,FALSE)</f>
        <v>0.65787878787878773</v>
      </c>
      <c r="AF569" s="6">
        <f>VLOOKUP(H565,H$1:$L$601,1,FALSE)</f>
        <v>0</v>
      </c>
      <c r="AG569" s="6">
        <f>VLOOKUP(I565,I$1:$L$601,1,FALSE)</f>
        <v>45721</v>
      </c>
      <c r="AH569" s="6" t="str">
        <f>VLOOKUP(J565,J$1:$L$601,1,FALSE)</f>
        <v>MUMBAI</v>
      </c>
      <c r="AI569" s="6" t="str">
        <f>VLOOKUP(K565,K$1:$L$601,1,FALSE)</f>
        <v>B2C</v>
      </c>
      <c r="AJ569" s="6">
        <f>VLOOKUP(L565,L$1:$L$601,1,FALSE)</f>
        <v>2598.9299999999998</v>
      </c>
    </row>
    <row r="570" spans="1:36" x14ac:dyDescent="0.25">
      <c r="A570">
        <v>1598</v>
      </c>
      <c r="B570" t="s">
        <v>620</v>
      </c>
      <c r="C570" t="s">
        <v>21</v>
      </c>
      <c r="D570" t="s">
        <v>87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48</v>
      </c>
      <c r="K570" t="s">
        <v>24</v>
      </c>
      <c r="L570" s="2">
        <v>2944.25</v>
      </c>
      <c r="Y570" s="6">
        <f>VLOOKUP(A566,A$1:$L$601,1,FALSE)</f>
        <v>1594</v>
      </c>
      <c r="Z570" s="6" t="str">
        <f>VLOOKUP(B566,B$1:$L$601,1,FALSE)</f>
        <v>Patrick Garza</v>
      </c>
      <c r="AA570" s="6" t="str">
        <f>VLOOKUP(C566,C$1:$L$601,1,FALSE)</f>
        <v>Jeans</v>
      </c>
      <c r="AB570" s="6" t="str">
        <f>VLOOKUP(D566,D$1:$L$601,1,FALSE)</f>
        <v>Straight Cut</v>
      </c>
      <c r="AC570" s="6">
        <f>VLOOKUP(E566,E$1:$L$601,1,FALSE)</f>
        <v>2.1052631578947367</v>
      </c>
      <c r="AD570" s="6">
        <f>VLOOKUP(F566,F$1:$L$601,1,FALSE)</f>
        <v>3784.99</v>
      </c>
      <c r="AE570" s="6">
        <f>VLOOKUP(G566,G$1:$L$601,1,FALSE)</f>
        <v>0.58977272727272723</v>
      </c>
      <c r="AF570" s="6">
        <f>VLOOKUP(H566,H$1:$L$601,1,FALSE)</f>
        <v>0</v>
      </c>
      <c r="AG570" s="6">
        <f>VLOOKUP(I566,I$1:$L$601,1,FALSE)</f>
        <v>45626.838268792708</v>
      </c>
      <c r="AH570" s="6" t="str">
        <f>VLOOKUP(J566,J$1:$L$601,1,FALSE)</f>
        <v>BANGALORE</v>
      </c>
      <c r="AI570" s="6" t="str">
        <f>VLOOKUP(K566,K$1:$L$601,1,FALSE)</f>
        <v>B2C</v>
      </c>
      <c r="AJ570" s="6">
        <f>VLOOKUP(L566,L$1:$L$601,1,FALSE)</f>
        <v>346.37</v>
      </c>
    </row>
    <row r="571" spans="1:36" x14ac:dyDescent="0.25">
      <c r="A571">
        <v>1599</v>
      </c>
      <c r="B571" t="s">
        <v>621</v>
      </c>
      <c r="C571" t="s">
        <v>21</v>
      </c>
      <c r="D571" t="s">
        <v>79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23</v>
      </c>
      <c r="K571" t="s">
        <v>16</v>
      </c>
      <c r="L571" s="2">
        <v>790.51</v>
      </c>
      <c r="Y571" s="6">
        <f>VLOOKUP(A567,A$1:$L$601,1,FALSE)</f>
        <v>1595</v>
      </c>
      <c r="Z571" s="6" t="str">
        <f>VLOOKUP(B567,B$1:$L$601,1,FALSE)</f>
        <v>Ronald Mcdaniel</v>
      </c>
      <c r="AA571" s="6" t="str">
        <f>VLOOKUP(C567,C$1:$L$601,1,FALSE)</f>
        <v>Dresses</v>
      </c>
      <c r="AB571" s="6" t="str">
        <f>VLOOKUP(D567,D$1:$L$601,1,FALSE)</f>
        <v>Bodycon</v>
      </c>
      <c r="AC571" s="6">
        <f>VLOOKUP(E567,E$1:$L$601,1,FALSE)</f>
        <v>2.1864406779661016</v>
      </c>
      <c r="AD571" s="6">
        <f>VLOOKUP(F567,F$1:$L$601,1,FALSE)</f>
        <v>2949.9901960784309</v>
      </c>
      <c r="AE571" s="6">
        <f>VLOOKUP(G567,G$1:$L$601,1,FALSE)</f>
        <v>0.55000000000000004</v>
      </c>
      <c r="AF571" s="6">
        <f>VLOOKUP(H567,H$1:$L$601,1,FALSE)</f>
        <v>0</v>
      </c>
      <c r="AG571" s="6">
        <f>VLOOKUP(I567,I$1:$L$601,1,FALSE)</f>
        <v>45858</v>
      </c>
      <c r="AH571" s="6" t="str">
        <f>VLOOKUP(J567,J$1:$L$601,1,FALSE)</f>
        <v>MUMBAI</v>
      </c>
      <c r="AI571" s="6" t="str">
        <f>VLOOKUP(K567,K$1:$L$601,1,FALSE)</f>
        <v>B2C</v>
      </c>
      <c r="AJ571" s="6">
        <f>VLOOKUP(L567,L$1:$L$601,1,FALSE)</f>
        <v>1483.7</v>
      </c>
    </row>
    <row r="572" spans="1:36" x14ac:dyDescent="0.25">
      <c r="A572" t="s">
        <v>622</v>
      </c>
      <c r="B572" t="s">
        <v>623</v>
      </c>
      <c r="C572" t="s">
        <v>31</v>
      </c>
      <c r="D572" t="s">
        <v>44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19</v>
      </c>
      <c r="K572" t="s">
        <v>16</v>
      </c>
      <c r="L572" s="2">
        <v>1941.65</v>
      </c>
      <c r="Y572" s="6">
        <f>VLOOKUP(A568,A$1:$L$601,1,FALSE)</f>
        <v>1596</v>
      </c>
      <c r="Z572" s="6" t="str">
        <f>VLOOKUP(B568,B$1:$L$601,1,FALSE)</f>
        <v>Mark Campbell</v>
      </c>
      <c r="AA572" s="6" t="str">
        <f>VLOOKUP(C568,C$1:$L$601,1,FALSE)</f>
        <v>Jackets</v>
      </c>
      <c r="AB572" s="6" t="str">
        <f>VLOOKUP(D568,D$1:$L$601,1,FALSE)</f>
        <v>Puffer Coat</v>
      </c>
      <c r="AC572" s="6">
        <f>VLOOKUP(E568,E$1:$L$601,1,FALSE)</f>
        <v>3</v>
      </c>
      <c r="AD572" s="6">
        <f>VLOOKUP(F568,F$1:$L$601,1,FALSE)</f>
        <v>738.29</v>
      </c>
      <c r="AE572" s="6">
        <f>VLOOKUP(G568,G$1:$L$601,1,FALSE)</f>
        <v>0.69969696969696993</v>
      </c>
      <c r="AF572" s="6">
        <f>VLOOKUP(H568,H$1:$L$601,1,FALSE)</f>
        <v>0</v>
      </c>
      <c r="AG572" s="6">
        <f>VLOOKUP(I568,I$1:$L$601,1,FALSE)</f>
        <v>45558</v>
      </c>
      <c r="AH572" s="6" t="str">
        <f>VLOOKUP(J568,J$1:$L$601,1,FALSE)</f>
        <v>AHMEDABAD</v>
      </c>
      <c r="AI572" s="6" t="str">
        <f>VLOOKUP(K568,K$1:$L$601,1,FALSE)</f>
        <v>B2B</v>
      </c>
      <c r="AJ572" s="6">
        <f>VLOOKUP(L568,L$1:$L$601,1,FALSE)</f>
        <v>-871.38</v>
      </c>
    </row>
    <row r="573" spans="1:36" x14ac:dyDescent="0.25">
      <c r="A573" t="s">
        <v>622</v>
      </c>
      <c r="B573" t="s">
        <v>624</v>
      </c>
      <c r="C573" t="s">
        <v>13</v>
      </c>
      <c r="D573" t="s">
        <v>51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29</v>
      </c>
      <c r="K573" t="s">
        <v>16</v>
      </c>
      <c r="L573" s="2">
        <v>1558.99</v>
      </c>
      <c r="Y573" s="6">
        <f>VLOOKUP(A569,A$1:$L$601,1,FALSE)</f>
        <v>1597</v>
      </c>
      <c r="Z573" s="6" t="str">
        <f>VLOOKUP(B569,B$1:$L$601,1,FALSE)</f>
        <v>Linda Ross</v>
      </c>
      <c r="AA573" s="6" t="str">
        <f>VLOOKUP(C569,C$1:$L$601,1,FALSE)</f>
        <v>T-Shirts</v>
      </c>
      <c r="AB573" s="6" t="str">
        <f>VLOOKUP(D569,D$1:$L$601,1,FALSE)</f>
        <v>Crop Top</v>
      </c>
      <c r="AC573" s="6">
        <f>VLOOKUP(E569,E$1:$L$601,1,FALSE)</f>
        <v>1</v>
      </c>
      <c r="AD573" s="6">
        <f>VLOOKUP(F569,F$1:$L$601,1,FALSE)</f>
        <v>657.51</v>
      </c>
      <c r="AE573" s="6">
        <f>VLOOKUP(G569,G$1:$L$601,1,FALSE)</f>
        <v>0.77</v>
      </c>
      <c r="AF573" s="6">
        <f>VLOOKUP(H569,H$1:$L$601,1,FALSE)</f>
        <v>151.22999999999999</v>
      </c>
      <c r="AG573" s="6">
        <f>VLOOKUP(I569,I$1:$L$601,1,FALSE)</f>
        <v>45508</v>
      </c>
      <c r="AH573" s="6" t="str">
        <f>VLOOKUP(J569,J$1:$L$601,1,FALSE)</f>
        <v>DELHI</v>
      </c>
      <c r="AI573" s="6" t="str">
        <f>VLOOKUP(K569,K$1:$L$601,1,FALSE)</f>
        <v>B2C</v>
      </c>
      <c r="AJ573" s="6">
        <f>VLOOKUP(L569,L$1:$L$601,1,FALSE)</f>
        <v>2744.32</v>
      </c>
    </row>
    <row r="574" spans="1:36" x14ac:dyDescent="0.25">
      <c r="A574" t="s">
        <v>622</v>
      </c>
      <c r="B574" t="s">
        <v>625</v>
      </c>
      <c r="C574" t="s">
        <v>13</v>
      </c>
      <c r="D574" t="s">
        <v>39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24</v>
      </c>
      <c r="L574" s="2">
        <v>2328.1</v>
      </c>
      <c r="Y574" s="6">
        <f>VLOOKUP(A570,A$1:$L$601,1,FALSE)</f>
        <v>1598</v>
      </c>
      <c r="Z574" s="6" t="str">
        <f>VLOOKUP(B570,B$1:$L$601,1,FALSE)</f>
        <v>Amanda Wilson</v>
      </c>
      <c r="AA574" s="6" t="str">
        <f>VLOOKUP(C570,C$1:$L$601,1,FALSE)</f>
        <v>Jackets</v>
      </c>
      <c r="AB574" s="6" t="str">
        <f>VLOOKUP(D570,D$1:$L$601,1,FALSE)</f>
        <v>Denim Jacket</v>
      </c>
      <c r="AC574" s="6">
        <f>VLOOKUP(E570,E$1:$L$601,1,FALSE)</f>
        <v>1.8076923076923077</v>
      </c>
      <c r="AD574" s="6">
        <f>VLOOKUP(F570,F$1:$L$601,1,FALSE)</f>
        <v>3311.31</v>
      </c>
      <c r="AE574" s="6">
        <f>VLOOKUP(G570,G$1:$L$601,1,FALSE)</f>
        <v>0.69969696969696993</v>
      </c>
      <c r="AF574" s="6">
        <f>VLOOKUP(H570,H$1:$L$601,1,FALSE)</f>
        <v>0</v>
      </c>
      <c r="AG574" s="6">
        <f>VLOOKUP(I570,I$1:$L$601,1,FALSE)</f>
        <v>45626.838268792708</v>
      </c>
      <c r="AH574" s="6" t="str">
        <f>VLOOKUP(J570,J$1:$L$601,1,FALSE)</f>
        <v>PUNE</v>
      </c>
      <c r="AI574" s="6" t="str">
        <f>VLOOKUP(K570,K$1:$L$601,1,FALSE)</f>
        <v>B2B</v>
      </c>
      <c r="AJ574" s="6">
        <f>VLOOKUP(L570,L$1:$L$601,1,FALSE)</f>
        <v>2944.25</v>
      </c>
    </row>
    <row r="575" spans="1:36" x14ac:dyDescent="0.25">
      <c r="A575" t="s">
        <v>622</v>
      </c>
      <c r="B575" t="s">
        <v>626</v>
      </c>
      <c r="C575" t="s">
        <v>13</v>
      </c>
      <c r="D575" t="s">
        <v>51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29</v>
      </c>
      <c r="K575" t="s">
        <v>16</v>
      </c>
      <c r="L575" s="2">
        <v>2728.03</v>
      </c>
      <c r="Y575" s="6">
        <f>VLOOKUP(A571,A$1:$L$601,1,FALSE)</f>
        <v>1599</v>
      </c>
      <c r="Z575" s="6" t="str">
        <f>VLOOKUP(B571,B$1:$L$601,1,FALSE)</f>
        <v>Jeffery Elliott</v>
      </c>
      <c r="AA575" s="6" t="str">
        <f>VLOOKUP(C571,C$1:$L$601,1,FALSE)</f>
        <v>Jackets</v>
      </c>
      <c r="AB575" s="6" t="str">
        <f>VLOOKUP(D571,D$1:$L$601,1,FALSE)</f>
        <v>Bomber Jacket</v>
      </c>
      <c r="AC575" s="6">
        <f>VLOOKUP(E571,E$1:$L$601,1,FALSE)</f>
        <v>1.8076923076923077</v>
      </c>
      <c r="AD575" s="6">
        <f>VLOOKUP(F571,F$1:$L$601,1,FALSE)</f>
        <v>2811.5702272727276</v>
      </c>
      <c r="AE575" s="6">
        <f>VLOOKUP(G571,G$1:$L$601,1,FALSE)</f>
        <v>0.69969696969696993</v>
      </c>
      <c r="AF575" s="6">
        <f>VLOOKUP(H571,H$1:$L$601,1,FALSE)</f>
        <v>0</v>
      </c>
      <c r="AG575" s="6">
        <f>VLOOKUP(I571,I$1:$L$601,1,FALSE)</f>
        <v>45750</v>
      </c>
      <c r="AH575" s="6" t="str">
        <f>VLOOKUP(J571,J$1:$L$601,1,FALSE)</f>
        <v>MUMBAI</v>
      </c>
      <c r="AI575" s="6" t="str">
        <f>VLOOKUP(K571,K$1:$L$601,1,FALSE)</f>
        <v>B2C</v>
      </c>
      <c r="AJ575" s="6">
        <f>VLOOKUP(L571,L$1:$L$601,1,FALSE)</f>
        <v>790.51</v>
      </c>
    </row>
    <row r="576" spans="1:36" x14ac:dyDescent="0.25">
      <c r="A576" t="s">
        <v>622</v>
      </c>
      <c r="B576" t="s">
        <v>627</v>
      </c>
      <c r="C576" t="s">
        <v>13</v>
      </c>
      <c r="D576" t="s">
        <v>51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33</v>
      </c>
      <c r="K576" t="s">
        <v>16</v>
      </c>
      <c r="L576" s="2">
        <v>1368.68</v>
      </c>
      <c r="Y576" s="6" t="str">
        <f>VLOOKUP(A572,A$1:$L$601,1,FALSE)</f>
        <v>Unknown</v>
      </c>
      <c r="Z576" s="6" t="str">
        <f>VLOOKUP(B572,B$1:$L$601,1,FALSE)</f>
        <v>Stephanie Booth</v>
      </c>
      <c r="AA576" s="6" t="str">
        <f>VLOOKUP(C572,C$1:$L$601,1,FALSE)</f>
        <v>Accessories</v>
      </c>
      <c r="AB576" s="6" t="str">
        <f>VLOOKUP(D572,D$1:$L$601,1,FALSE)</f>
        <v>Sunglasses</v>
      </c>
      <c r="AC576" s="6">
        <f>VLOOKUP(E572,E$1:$L$601,1,FALSE)</f>
        <v>2.4893617021276597</v>
      </c>
      <c r="AD576" s="6">
        <f>VLOOKUP(F572,F$1:$L$601,1,FALSE)</f>
        <v>2706.1301960784322</v>
      </c>
      <c r="AE576" s="6">
        <f>VLOOKUP(G572,G$1:$L$601,1,FALSE)</f>
        <v>0.70297297297297334</v>
      </c>
      <c r="AF576" s="6">
        <f>VLOOKUP(H572,H$1:$L$601,1,FALSE)</f>
        <v>0</v>
      </c>
      <c r="AG576" s="6">
        <f>VLOOKUP(I572,I$1:$L$601,1,FALSE)</f>
        <v>45907</v>
      </c>
      <c r="AH576" s="6" t="str">
        <f>VLOOKUP(J572,J$1:$L$601,1,FALSE)</f>
        <v>AHMEDABAD</v>
      </c>
      <c r="AI576" s="6" t="str">
        <f>VLOOKUP(K572,K$1:$L$601,1,FALSE)</f>
        <v>B2C</v>
      </c>
      <c r="AJ576" s="6">
        <f>VLOOKUP(L572,L$1:$L$601,1,FALSE)</f>
        <v>1941.65</v>
      </c>
    </row>
    <row r="577" spans="1:36" x14ac:dyDescent="0.25">
      <c r="A577" t="s">
        <v>622</v>
      </c>
      <c r="B577" t="s">
        <v>628</v>
      </c>
      <c r="C577" t="s">
        <v>13</v>
      </c>
      <c r="D577" t="s">
        <v>101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  <c r="Y577" s="6" t="str">
        <f>VLOOKUP(A573,A$1:$L$601,1,FALSE)</f>
        <v>Unknown</v>
      </c>
      <c r="Z577" s="6" t="str">
        <f>VLOOKUP(B573,B$1:$L$601,1,FALSE)</f>
        <v>Kathleen Moore</v>
      </c>
      <c r="AA577" s="6" t="str">
        <f>VLOOKUP(C573,C$1:$L$601,1,FALSE)</f>
        <v>Jeans</v>
      </c>
      <c r="AB577" s="6" t="str">
        <f>VLOOKUP(D573,D$1:$L$601,1,FALSE)</f>
        <v>Straight Cut</v>
      </c>
      <c r="AC577" s="6">
        <f>VLOOKUP(E573,E$1:$L$601,1,FALSE)</f>
        <v>2.1052631578947367</v>
      </c>
      <c r="AD577" s="6">
        <f>VLOOKUP(F573,F$1:$L$601,1,FALSE)</f>
        <v>2676.4254237288142</v>
      </c>
      <c r="AE577" s="6">
        <f>VLOOKUP(G573,G$1:$L$601,1,FALSE)</f>
        <v>0.84</v>
      </c>
      <c r="AF577" s="6">
        <f>VLOOKUP(H573,H$1:$L$601,1,FALSE)</f>
        <v>0</v>
      </c>
      <c r="AG577" s="6">
        <f>VLOOKUP(I573,I$1:$L$601,1,FALSE)</f>
        <v>45875</v>
      </c>
      <c r="AH577" s="6" t="str">
        <f>VLOOKUP(J573,J$1:$L$601,1,FALSE)</f>
        <v>BANGALORE</v>
      </c>
      <c r="AI577" s="6" t="str">
        <f>VLOOKUP(K573,K$1:$L$601,1,FALSE)</f>
        <v>B2C</v>
      </c>
      <c r="AJ577" s="6">
        <f>VLOOKUP(L573,L$1:$L$601,1,FALSE)</f>
        <v>1558.99</v>
      </c>
    </row>
    <row r="578" spans="1:36" x14ac:dyDescent="0.25">
      <c r="A578" t="s">
        <v>622</v>
      </c>
      <c r="B578" t="s">
        <v>629</v>
      </c>
      <c r="C578" t="s">
        <v>36</v>
      </c>
      <c r="D578" t="s">
        <v>46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33</v>
      </c>
      <c r="K578" t="s">
        <v>16</v>
      </c>
      <c r="L578" s="2">
        <v>605.03</v>
      </c>
      <c r="Y578" s="6" t="str">
        <f>VLOOKUP(A574,A$1:$L$601,1,FALSE)</f>
        <v>Unknown</v>
      </c>
      <c r="Z578" s="6" t="str">
        <f>VLOOKUP(B574,B$1:$L$601,1,FALSE)</f>
        <v>Manuel Prince</v>
      </c>
      <c r="AA578" s="6" t="str">
        <f>VLOOKUP(C574,C$1:$L$601,1,FALSE)</f>
        <v>Jeans</v>
      </c>
      <c r="AB578" s="6" t="str">
        <f>VLOOKUP(D574,D$1:$L$601,1,FALSE)</f>
        <v>Boyfriend Jeans</v>
      </c>
      <c r="AC578" s="6">
        <f>VLOOKUP(E574,E$1:$L$601,1,FALSE)</f>
        <v>2.1052631578947367</v>
      </c>
      <c r="AD578" s="6">
        <f>VLOOKUP(F574,F$1:$L$601,1,FALSE)</f>
        <v>4129.37</v>
      </c>
      <c r="AE578" s="6">
        <f>VLOOKUP(G574,G$1:$L$601,1,FALSE)</f>
        <v>0.58977272727272723</v>
      </c>
      <c r="AF578" s="6">
        <f>VLOOKUP(H574,H$1:$L$601,1,FALSE)</f>
        <v>0</v>
      </c>
      <c r="AG578" s="6">
        <f>VLOOKUP(I574,I$1:$L$601,1,FALSE)</f>
        <v>45858</v>
      </c>
      <c r="AH578" s="6" t="str">
        <f>VLOOKUP(J574,J$1:$L$601,1,FALSE)</f>
        <v>DELHI</v>
      </c>
      <c r="AI578" s="6" t="str">
        <f>VLOOKUP(K574,K$1:$L$601,1,FALSE)</f>
        <v>B2B</v>
      </c>
      <c r="AJ578" s="6">
        <f>VLOOKUP(L574,L$1:$L$601,1,FALSE)</f>
        <v>2328.1</v>
      </c>
    </row>
    <row r="579" spans="1:36" x14ac:dyDescent="0.25">
      <c r="A579" t="s">
        <v>622</v>
      </c>
      <c r="B579" t="s">
        <v>630</v>
      </c>
      <c r="C579" t="s">
        <v>31</v>
      </c>
      <c r="D579" t="s">
        <v>140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48</v>
      </c>
      <c r="K579" t="s">
        <v>24</v>
      </c>
      <c r="L579" s="2">
        <v>2994.93</v>
      </c>
      <c r="Y579" s="6" t="str">
        <f>VLOOKUP(A575,A$1:$L$601,1,FALSE)</f>
        <v>Unknown</v>
      </c>
      <c r="Z579" s="6" t="str">
        <f>VLOOKUP(B575,B$1:$L$601,1,FALSE)</f>
        <v>Andrew Davis</v>
      </c>
      <c r="AA579" s="6" t="str">
        <f>VLOOKUP(C575,C$1:$L$601,1,FALSE)</f>
        <v>Jeans</v>
      </c>
      <c r="AB579" s="6" t="str">
        <f>VLOOKUP(D575,D$1:$L$601,1,FALSE)</f>
        <v>Straight Cut</v>
      </c>
      <c r="AC579" s="6">
        <f>VLOOKUP(E575,E$1:$L$601,1,FALSE)</f>
        <v>6</v>
      </c>
      <c r="AD579" s="6">
        <f>VLOOKUP(F575,F$1:$L$601,1,FALSE)</f>
        <v>2228.4499999999998</v>
      </c>
      <c r="AE579" s="6">
        <f>VLOOKUP(G575,G$1:$L$601,1,FALSE)</f>
        <v>1.2E-2</v>
      </c>
      <c r="AF579" s="6">
        <f>VLOOKUP(H575,H$1:$L$601,1,FALSE)</f>
        <v>-2674.14</v>
      </c>
      <c r="AG579" s="6">
        <f>VLOOKUP(I575,I$1:$L$601,1,FALSE)</f>
        <v>45810</v>
      </c>
      <c r="AH579" s="6" t="str">
        <f>VLOOKUP(J575,J$1:$L$601,1,FALSE)</f>
        <v>BANGALORE</v>
      </c>
      <c r="AI579" s="6" t="str">
        <f>VLOOKUP(K575,K$1:$L$601,1,FALSE)</f>
        <v>B2C</v>
      </c>
      <c r="AJ579" s="6">
        <f>VLOOKUP(L575,L$1:$L$601,1,FALSE)</f>
        <v>2728.03</v>
      </c>
    </row>
    <row r="580" spans="1:36" x14ac:dyDescent="0.25">
      <c r="A580" t="s">
        <v>622</v>
      </c>
      <c r="B580" t="s">
        <v>631</v>
      </c>
      <c r="C580" t="s">
        <v>41</v>
      </c>
      <c r="D580" t="s">
        <v>59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23</v>
      </c>
      <c r="K580" t="s">
        <v>24</v>
      </c>
      <c r="L580" s="2">
        <v>-442.98</v>
      </c>
      <c r="Y580" s="6" t="str">
        <f>VLOOKUP(A576,A$1:$L$601,1,FALSE)</f>
        <v>Unknown</v>
      </c>
      <c r="Z580" s="6" t="str">
        <f>VLOOKUP(B576,B$1:$L$601,1,FALSE)</f>
        <v>Caroline Turner</v>
      </c>
      <c r="AA580" s="6" t="str">
        <f>VLOOKUP(C576,C$1:$L$601,1,FALSE)</f>
        <v>Jeans</v>
      </c>
      <c r="AB580" s="6" t="str">
        <f>VLOOKUP(D576,D$1:$L$601,1,FALSE)</f>
        <v>Straight Cut</v>
      </c>
      <c r="AC580" s="6">
        <f>VLOOKUP(E576,E$1:$L$601,1,FALSE)</f>
        <v>5</v>
      </c>
      <c r="AD580" s="6">
        <f>VLOOKUP(F576,F$1:$L$601,1,FALSE)</f>
        <v>2676.4254237288142</v>
      </c>
      <c r="AE580" s="6">
        <f>VLOOKUP(G576,G$1:$L$601,1,FALSE)</f>
        <v>1.15E-2</v>
      </c>
      <c r="AF580" s="6">
        <f>VLOOKUP(H576,H$1:$L$601,1,FALSE)</f>
        <v>0</v>
      </c>
      <c r="AG580" s="6">
        <f>VLOOKUP(I576,I$1:$L$601,1,FALSE)</f>
        <v>45784</v>
      </c>
      <c r="AH580" s="6" t="str">
        <f>VLOOKUP(J576,J$1:$L$601,1,FALSE)</f>
        <v>HYDERBAD</v>
      </c>
      <c r="AI580" s="6" t="str">
        <f>VLOOKUP(K576,K$1:$L$601,1,FALSE)</f>
        <v>B2C</v>
      </c>
      <c r="AJ580" s="6">
        <f>VLOOKUP(L576,L$1:$L$601,1,FALSE)</f>
        <v>1368.68</v>
      </c>
    </row>
    <row r="581" spans="1:36" x14ac:dyDescent="0.25">
      <c r="A581" t="s">
        <v>622</v>
      </c>
      <c r="B581" t="s">
        <v>632</v>
      </c>
      <c r="C581" t="s">
        <v>36</v>
      </c>
      <c r="D581" t="s">
        <v>81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48</v>
      </c>
      <c r="K581" t="s">
        <v>16</v>
      </c>
      <c r="L581" s="2">
        <v>-555.4</v>
      </c>
      <c r="Y581" s="6" t="str">
        <f>VLOOKUP(A577,A$1:$L$601,1,FALSE)</f>
        <v>Unknown</v>
      </c>
      <c r="Z581" s="6" t="str">
        <f>VLOOKUP(B577,B$1:$L$601,1,FALSE)</f>
        <v>Jonathan Montgomery</v>
      </c>
      <c r="AA581" s="6" t="str">
        <f>VLOOKUP(C577,C$1:$L$601,1,FALSE)</f>
        <v>Jeans</v>
      </c>
      <c r="AB581" s="6" t="str">
        <f>VLOOKUP(D577,D$1:$L$601,1,FALSE)</f>
        <v>Ripped Denim</v>
      </c>
      <c r="AC581" s="6">
        <f>VLOOKUP(E577,E$1:$L$601,1,FALSE)</f>
        <v>2.1052631578947367</v>
      </c>
      <c r="AD581" s="6">
        <f>VLOOKUP(F577,F$1:$L$601,1,FALSE)</f>
        <v>784.1</v>
      </c>
      <c r="AE581" s="6">
        <f>VLOOKUP(G577,G$1:$L$601,1,FALSE)</f>
        <v>0.58977272727272723</v>
      </c>
      <c r="AF581" s="6">
        <f>VLOOKUP(H577,H$1:$L$601,1,FALSE)</f>
        <v>0</v>
      </c>
      <c r="AG581" s="6">
        <f>VLOOKUP(I577,I$1:$L$601,1,FALSE)</f>
        <v>45779</v>
      </c>
      <c r="AH581" s="6" t="str">
        <f>VLOOKUP(J577,J$1:$L$601,1,FALSE)</f>
        <v>DELHI</v>
      </c>
      <c r="AI581" s="6" t="str">
        <f>VLOOKUP(K577,K$1:$L$601,1,FALSE)</f>
        <v>B2C</v>
      </c>
      <c r="AJ581" s="6">
        <f>VLOOKUP(L577,L$1:$L$601,1,FALSE)</f>
        <v>401.24</v>
      </c>
    </row>
    <row r="582" spans="1:36" x14ac:dyDescent="0.25">
      <c r="A582" t="s">
        <v>622</v>
      </c>
      <c r="B582" t="s">
        <v>633</v>
      </c>
      <c r="C582" t="s">
        <v>41</v>
      </c>
      <c r="D582" t="s">
        <v>63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29</v>
      </c>
      <c r="K582" t="s">
        <v>24</v>
      </c>
      <c r="L582" s="2">
        <v>-960.24</v>
      </c>
      <c r="Y582" s="6" t="str">
        <f>VLOOKUP(A578,A$1:$L$601,1,FALSE)</f>
        <v>Unknown</v>
      </c>
      <c r="Z582" s="6" t="str">
        <f>VLOOKUP(B578,B$1:$L$601,1,FALSE)</f>
        <v>Juan White</v>
      </c>
      <c r="AA582" s="6" t="str">
        <f>VLOOKUP(C578,C$1:$L$601,1,FALSE)</f>
        <v>T-Shirts</v>
      </c>
      <c r="AB582" s="6" t="str">
        <f>VLOOKUP(D578,D$1:$L$601,1,FALSE)</f>
        <v>Oversized T-Shirt</v>
      </c>
      <c r="AC582" s="6">
        <f>VLOOKUP(E578,E$1:$L$601,1,FALSE)</f>
        <v>2</v>
      </c>
      <c r="AD582" s="6">
        <f>VLOOKUP(F578,F$1:$L$601,1,FALSE)</f>
        <v>4802.42</v>
      </c>
      <c r="AE582" s="6">
        <f>VLOOKUP(G578,G$1:$L$601,1,FALSE)</f>
        <v>1.18E-2</v>
      </c>
      <c r="AF582" s="6">
        <f>VLOOKUP(H578,H$1:$L$601,1,FALSE)</f>
        <v>-1728.87</v>
      </c>
      <c r="AG582" s="6">
        <f>VLOOKUP(I578,I$1:$L$601,1,FALSE)</f>
        <v>45765</v>
      </c>
      <c r="AH582" s="6" t="str">
        <f>VLOOKUP(J578,J$1:$L$601,1,FALSE)</f>
        <v>HYDERBAD</v>
      </c>
      <c r="AI582" s="6" t="str">
        <f>VLOOKUP(K578,K$1:$L$601,1,FALSE)</f>
        <v>B2C</v>
      </c>
      <c r="AJ582" s="6">
        <f>VLOOKUP(L578,L$1:$L$601,1,FALSE)</f>
        <v>605.03</v>
      </c>
    </row>
    <row r="583" spans="1:36" x14ac:dyDescent="0.25">
      <c r="A583" t="s">
        <v>622</v>
      </c>
      <c r="B583" t="s">
        <v>634</v>
      </c>
      <c r="C583" t="s">
        <v>13</v>
      </c>
      <c r="D583" t="s">
        <v>39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  <c r="Y583" s="6" t="str">
        <f>VLOOKUP(A579,A$1:$L$601,1,FALSE)</f>
        <v>Unknown</v>
      </c>
      <c r="Z583" s="6" t="str">
        <f>VLOOKUP(B579,B$1:$L$601,1,FALSE)</f>
        <v>Dr. Adam Schultz</v>
      </c>
      <c r="AA583" s="6" t="str">
        <f>VLOOKUP(C579,C$1:$L$601,1,FALSE)</f>
        <v>Accessories</v>
      </c>
      <c r="AB583" s="6" t="str">
        <f>VLOOKUP(D579,D$1:$L$601,1,FALSE)</f>
        <v>Caps</v>
      </c>
      <c r="AC583" s="6">
        <f>VLOOKUP(E579,E$1:$L$601,1,FALSE)</f>
        <v>2.4893617021276597</v>
      </c>
      <c r="AD583" s="6">
        <f>VLOOKUP(F579,F$1:$L$601,1,FALSE)</f>
        <v>2298.27</v>
      </c>
      <c r="AE583" s="6">
        <f>VLOOKUP(G579,G$1:$L$601,1,FALSE)</f>
        <v>0.59</v>
      </c>
      <c r="AF583" s="6">
        <f>VLOOKUP(H579,H$1:$L$601,1,FALSE)</f>
        <v>0</v>
      </c>
      <c r="AG583" s="6">
        <f>VLOOKUP(I579,I$1:$L$601,1,FALSE)</f>
        <v>45743</v>
      </c>
      <c r="AH583" s="6" t="str">
        <f>VLOOKUP(J579,J$1:$L$601,1,FALSE)</f>
        <v>PUNE</v>
      </c>
      <c r="AI583" s="6" t="str">
        <f>VLOOKUP(K579,K$1:$L$601,1,FALSE)</f>
        <v>B2B</v>
      </c>
      <c r="AJ583" s="6">
        <f>VLOOKUP(L579,L$1:$L$601,1,FALSE)</f>
        <v>2994.93</v>
      </c>
    </row>
    <row r="584" spans="1:36" x14ac:dyDescent="0.25">
      <c r="A584" t="s">
        <v>622</v>
      </c>
      <c r="B584" t="s">
        <v>635</v>
      </c>
      <c r="C584" t="s">
        <v>31</v>
      </c>
      <c r="D584" t="s">
        <v>32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23</v>
      </c>
      <c r="K584" t="s">
        <v>16</v>
      </c>
      <c r="L584" s="2">
        <v>1539.59</v>
      </c>
      <c r="Y584" s="6" t="str">
        <f>VLOOKUP(A580,A$1:$L$601,1,FALSE)</f>
        <v>Unknown</v>
      </c>
      <c r="Z584" s="6" t="str">
        <f>VLOOKUP(B580,B$1:$L$601,1,FALSE)</f>
        <v>Timothy Potter</v>
      </c>
      <c r="AA584" s="6" t="str">
        <f>VLOOKUP(C580,C$1:$L$601,1,FALSE)</f>
        <v>Dresses</v>
      </c>
      <c r="AB584" s="6" t="str">
        <f>VLOOKUP(D580,D$1:$L$601,1,FALSE)</f>
        <v>Maxi Dress</v>
      </c>
      <c r="AC584" s="6">
        <f>VLOOKUP(E580,E$1:$L$601,1,FALSE)</f>
        <v>2.1864406779661016</v>
      </c>
      <c r="AD584" s="6">
        <f>VLOOKUP(F580,F$1:$L$601,1,FALSE)</f>
        <v>3218.39</v>
      </c>
      <c r="AE584" s="6">
        <f>VLOOKUP(G580,G$1:$L$601,1,FALSE)</f>
        <v>0.55000000000000004</v>
      </c>
      <c r="AF584" s="6">
        <f>VLOOKUP(H580,H$1:$L$601,1,FALSE)</f>
        <v>0</v>
      </c>
      <c r="AG584" s="6">
        <f>VLOOKUP(I580,I$1:$L$601,1,FALSE)</f>
        <v>45694</v>
      </c>
      <c r="AH584" s="6" t="str">
        <f>VLOOKUP(J580,J$1:$L$601,1,FALSE)</f>
        <v>MUMBAI</v>
      </c>
      <c r="AI584" s="6" t="str">
        <f>VLOOKUP(K580,K$1:$L$601,1,FALSE)</f>
        <v>B2B</v>
      </c>
      <c r="AJ584" s="6">
        <f>VLOOKUP(L580,L$1:$L$601,1,FALSE)</f>
        <v>-442.98</v>
      </c>
    </row>
    <row r="585" spans="1:36" x14ac:dyDescent="0.25">
      <c r="A585" t="s">
        <v>622</v>
      </c>
      <c r="B585" t="s">
        <v>636</v>
      </c>
      <c r="C585" t="s">
        <v>27</v>
      </c>
      <c r="D585" t="s">
        <v>65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19</v>
      </c>
      <c r="K585" t="s">
        <v>16</v>
      </c>
      <c r="L585" s="2">
        <v>2393.9899999999998</v>
      </c>
      <c r="Y585" s="6" t="str">
        <f>VLOOKUP(A581,A$1:$L$601,1,FALSE)</f>
        <v>Unknown</v>
      </c>
      <c r="Z585" s="6" t="str">
        <f>VLOOKUP(B581,B$1:$L$601,1,FALSE)</f>
        <v>Matthew Robbins</v>
      </c>
      <c r="AA585" s="6" t="str">
        <f>VLOOKUP(C581,C$1:$L$601,1,FALSE)</f>
        <v>T-Shirts</v>
      </c>
      <c r="AB585" s="6" t="str">
        <f>VLOOKUP(D581,D$1:$L$601,1,FALSE)</f>
        <v>Graphic Tee</v>
      </c>
      <c r="AC585" s="6">
        <f>VLOOKUP(E581,E$1:$L$601,1,FALSE)</f>
        <v>1.5178571428571428</v>
      </c>
      <c r="AD585" s="6">
        <f>VLOOKUP(F581,F$1:$L$601,1,FALSE)</f>
        <v>3991.4</v>
      </c>
      <c r="AE585" s="6">
        <f>VLOOKUP(G581,G$1:$L$601,1,FALSE)</f>
        <v>0.65787878787878773</v>
      </c>
      <c r="AF585" s="6">
        <f>VLOOKUP(H581,H$1:$L$601,1,FALSE)</f>
        <v>0</v>
      </c>
      <c r="AG585" s="6">
        <f>VLOOKUP(I581,I$1:$L$601,1,FALSE)</f>
        <v>45693</v>
      </c>
      <c r="AH585" s="6" t="str">
        <f>VLOOKUP(J581,J$1:$L$601,1,FALSE)</f>
        <v>PUNE</v>
      </c>
      <c r="AI585" s="6" t="str">
        <f>VLOOKUP(K581,K$1:$L$601,1,FALSE)</f>
        <v>B2C</v>
      </c>
      <c r="AJ585" s="6">
        <f>VLOOKUP(L581,L$1:$L$601,1,FALSE)</f>
        <v>-555.4</v>
      </c>
    </row>
    <row r="586" spans="1:36" x14ac:dyDescent="0.25">
      <c r="A586" t="s">
        <v>622</v>
      </c>
      <c r="B586" t="s">
        <v>637</v>
      </c>
      <c r="C586" t="s">
        <v>21</v>
      </c>
      <c r="D586" t="s">
        <v>22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19</v>
      </c>
      <c r="K586" t="s">
        <v>24</v>
      </c>
      <c r="L586" s="2">
        <v>2513.75</v>
      </c>
      <c r="Y586" s="6" t="str">
        <f>VLOOKUP(A582,A$1:$L$601,1,FALSE)</f>
        <v>Unknown</v>
      </c>
      <c r="Z586" s="6" t="str">
        <f>VLOOKUP(B582,B$1:$L$601,1,FALSE)</f>
        <v>William Williams</v>
      </c>
      <c r="AA586" s="6" t="str">
        <f>VLOOKUP(C582,C$1:$L$601,1,FALSE)</f>
        <v>Dresses</v>
      </c>
      <c r="AB586" s="6" t="str">
        <f>VLOOKUP(D582,D$1:$L$601,1,FALSE)</f>
        <v>Wrap Dress</v>
      </c>
      <c r="AC586" s="6">
        <f>VLOOKUP(E582,E$1:$L$601,1,FALSE)</f>
        <v>4</v>
      </c>
      <c r="AD586" s="6">
        <f>VLOOKUP(F582,F$1:$L$601,1,FALSE)</f>
        <v>2949.9901960784309</v>
      </c>
      <c r="AE586" s="6">
        <f>VLOOKUP(G582,G$1:$L$601,1,FALSE)</f>
        <v>0.55000000000000004</v>
      </c>
      <c r="AF586" s="6">
        <f>VLOOKUP(H582,H$1:$L$601,1,FALSE)</f>
        <v>0</v>
      </c>
      <c r="AG586" s="6">
        <f>VLOOKUP(I582,I$1:$L$601,1,FALSE)</f>
        <v>45688</v>
      </c>
      <c r="AH586" s="6" t="str">
        <f>VLOOKUP(J582,J$1:$L$601,1,FALSE)</f>
        <v>BANGALORE</v>
      </c>
      <c r="AI586" s="6" t="str">
        <f>VLOOKUP(K582,K$1:$L$601,1,FALSE)</f>
        <v>B2B</v>
      </c>
      <c r="AJ586" s="6">
        <f>VLOOKUP(L582,L$1:$L$601,1,FALSE)</f>
        <v>-960.24</v>
      </c>
    </row>
    <row r="587" spans="1:36" x14ac:dyDescent="0.25">
      <c r="A587" t="s">
        <v>622</v>
      </c>
      <c r="B587" t="s">
        <v>638</v>
      </c>
      <c r="C587" t="s">
        <v>13</v>
      </c>
      <c r="D587" t="s">
        <v>51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23</v>
      </c>
      <c r="K587" t="s">
        <v>16</v>
      </c>
      <c r="L587" s="2">
        <v>2145.66</v>
      </c>
      <c r="Y587" s="6" t="str">
        <f>VLOOKUP(A583,A$1:$L$601,1,FALSE)</f>
        <v>Unknown</v>
      </c>
      <c r="Z587" s="6" t="str">
        <f>VLOOKUP(B583,B$1:$L$601,1,FALSE)</f>
        <v>Stephanie Gonzalez</v>
      </c>
      <c r="AA587" s="6" t="str">
        <f>VLOOKUP(C583,C$1:$L$601,1,FALSE)</f>
        <v>Jeans</v>
      </c>
      <c r="AB587" s="6" t="str">
        <f>VLOOKUP(D583,D$1:$L$601,1,FALSE)</f>
        <v>Boyfriend Jeans</v>
      </c>
      <c r="AC587" s="6">
        <f>VLOOKUP(E583,E$1:$L$601,1,FALSE)</f>
        <v>2.1052631578947367</v>
      </c>
      <c r="AD587" s="6">
        <f>VLOOKUP(F583,F$1:$L$601,1,FALSE)</f>
        <v>2676.4254237288142</v>
      </c>
      <c r="AE587" s="6">
        <f>VLOOKUP(G583,G$1:$L$601,1,FALSE)</f>
        <v>0.58977272727272723</v>
      </c>
      <c r="AF587" s="6">
        <f>VLOOKUP(H583,H$1:$L$601,1,FALSE)</f>
        <v>0</v>
      </c>
      <c r="AG587" s="6">
        <f>VLOOKUP(I583,I$1:$L$601,1,FALSE)</f>
        <v>45682</v>
      </c>
      <c r="AH587" s="6" t="str">
        <f>VLOOKUP(J583,J$1:$L$601,1,FALSE)</f>
        <v>DELHI</v>
      </c>
      <c r="AI587" s="6" t="str">
        <f>VLOOKUP(K583,K$1:$L$601,1,FALSE)</f>
        <v>B2C</v>
      </c>
      <c r="AJ587" s="6">
        <f>VLOOKUP(L583,L$1:$L$601,1,FALSE)</f>
        <v>1869.46</v>
      </c>
    </row>
    <row r="588" spans="1:36" x14ac:dyDescent="0.25">
      <c r="A588" t="s">
        <v>622</v>
      </c>
      <c r="B588" t="s">
        <v>639</v>
      </c>
      <c r="C588" t="s">
        <v>41</v>
      </c>
      <c r="D588" t="s">
        <v>42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  <c r="Y588" s="6" t="str">
        <f>VLOOKUP(A584,A$1:$L$601,1,FALSE)</f>
        <v>Unknown</v>
      </c>
      <c r="Z588" s="6" t="str">
        <f>VLOOKUP(B584,B$1:$L$601,1,FALSE)</f>
        <v>Laura Porter</v>
      </c>
      <c r="AA588" s="6" t="str">
        <f>VLOOKUP(C584,C$1:$L$601,1,FALSE)</f>
        <v>Accessories</v>
      </c>
      <c r="AB588" s="6" t="str">
        <f>VLOOKUP(D584,D$1:$L$601,1,FALSE)</f>
        <v>Belts</v>
      </c>
      <c r="AC588" s="6">
        <f>VLOOKUP(E584,E$1:$L$601,1,FALSE)</f>
        <v>2.4893617021276597</v>
      </c>
      <c r="AD588" s="6">
        <f>VLOOKUP(F584,F$1:$L$601,1,FALSE)</f>
        <v>2706.1301960784322</v>
      </c>
      <c r="AE588" s="6">
        <f>VLOOKUP(G584,G$1:$L$601,1,FALSE)</f>
        <v>0.70297297297297334</v>
      </c>
      <c r="AF588" s="6">
        <f>VLOOKUP(H584,H$1:$L$601,1,FALSE)</f>
        <v>0</v>
      </c>
      <c r="AG588" s="6">
        <f>VLOOKUP(I584,I$1:$L$601,1,FALSE)</f>
        <v>45661</v>
      </c>
      <c r="AH588" s="6" t="str">
        <f>VLOOKUP(J584,J$1:$L$601,1,FALSE)</f>
        <v>MUMBAI</v>
      </c>
      <c r="AI588" s="6" t="str">
        <f>VLOOKUP(K584,K$1:$L$601,1,FALSE)</f>
        <v>B2C</v>
      </c>
      <c r="AJ588" s="6">
        <f>VLOOKUP(L584,L$1:$L$601,1,FALSE)</f>
        <v>1539.59</v>
      </c>
    </row>
    <row r="589" spans="1:36" x14ac:dyDescent="0.25">
      <c r="A589" t="s">
        <v>622</v>
      </c>
      <c r="B589" t="s">
        <v>640</v>
      </c>
      <c r="C589" t="s">
        <v>36</v>
      </c>
      <c r="D589" t="s">
        <v>71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29</v>
      </c>
      <c r="K589" t="s">
        <v>24</v>
      </c>
      <c r="L589" s="2">
        <v>2721.4</v>
      </c>
      <c r="Y589" s="6" t="str">
        <f>VLOOKUP(A585,A$1:$L$601,1,FALSE)</f>
        <v>Unknown</v>
      </c>
      <c r="Z589" s="6" t="str">
        <f>VLOOKUP(B585,B$1:$L$601,1,FALSE)</f>
        <v>Michelle Rodriguez</v>
      </c>
      <c r="AA589" s="6" t="str">
        <f>VLOOKUP(C585,C$1:$L$601,1,FALSE)</f>
        <v>Shoes</v>
      </c>
      <c r="AB589" s="6" t="str">
        <f>VLOOKUP(D585,D$1:$L$601,1,FALSE)</f>
        <v>Slip-Ons</v>
      </c>
      <c r="AC589" s="6">
        <f>VLOOKUP(E585,E$1:$L$601,1,FALSE)</f>
        <v>2</v>
      </c>
      <c r="AD589" s="6">
        <f>VLOOKUP(F585,F$1:$L$601,1,FALSE)</f>
        <v>2557.4251351351354</v>
      </c>
      <c r="AE589" s="6">
        <f>VLOOKUP(G585,G$1:$L$601,1,FALSE)</f>
        <v>0.59740740740740739</v>
      </c>
      <c r="AF589" s="6">
        <f>VLOOKUP(H585,H$1:$L$601,1,FALSE)</f>
        <v>0</v>
      </c>
      <c r="AG589" s="6">
        <f>VLOOKUP(I585,I$1:$L$601,1,FALSE)</f>
        <v>45657</v>
      </c>
      <c r="AH589" s="6" t="str">
        <f>VLOOKUP(J585,J$1:$L$601,1,FALSE)</f>
        <v>AHMEDABAD</v>
      </c>
      <c r="AI589" s="6" t="str">
        <f>VLOOKUP(K585,K$1:$L$601,1,FALSE)</f>
        <v>B2C</v>
      </c>
      <c r="AJ589" s="6">
        <f>VLOOKUP(L585,L$1:$L$601,1,FALSE)</f>
        <v>2393.9899999999998</v>
      </c>
    </row>
    <row r="590" spans="1:36" x14ac:dyDescent="0.25">
      <c r="A590" t="s">
        <v>622</v>
      </c>
      <c r="B590" t="s">
        <v>641</v>
      </c>
      <c r="C590" t="s">
        <v>36</v>
      </c>
      <c r="D590" t="s">
        <v>71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29</v>
      </c>
      <c r="K590" t="s">
        <v>24</v>
      </c>
      <c r="L590" s="2">
        <v>1669.55</v>
      </c>
      <c r="Y590" s="6" t="str">
        <f>VLOOKUP(A586,A$1:$L$601,1,FALSE)</f>
        <v>Unknown</v>
      </c>
      <c r="Z590" s="6" t="str">
        <f>VLOOKUP(B586,B$1:$L$601,1,FALSE)</f>
        <v>Jessica Gibson</v>
      </c>
      <c r="AA590" s="6" t="str">
        <f>VLOOKUP(C586,C$1:$L$601,1,FALSE)</f>
        <v>Jackets</v>
      </c>
      <c r="AB590" s="6" t="str">
        <f>VLOOKUP(D586,D$1:$L$601,1,FALSE)</f>
        <v>Puffer Coat</v>
      </c>
      <c r="AC590" s="6">
        <f>VLOOKUP(E586,E$1:$L$601,1,FALSE)</f>
        <v>1</v>
      </c>
      <c r="AD590" s="6">
        <f>VLOOKUP(F586,F$1:$L$601,1,FALSE)</f>
        <v>2811.5702272727276</v>
      </c>
      <c r="AE590" s="6">
        <f>VLOOKUP(G586,G$1:$L$601,1,FALSE)</f>
        <v>0.69969696969696993</v>
      </c>
      <c r="AF590" s="6">
        <f>VLOOKUP(H586,H$1:$L$601,1,FALSE)</f>
        <v>0</v>
      </c>
      <c r="AG590" s="6">
        <f>VLOOKUP(I586,I$1:$L$601,1,FALSE)</f>
        <v>45657</v>
      </c>
      <c r="AH590" s="6" t="str">
        <f>VLOOKUP(J586,J$1:$L$601,1,FALSE)</f>
        <v>AHMEDABAD</v>
      </c>
      <c r="AI590" s="6" t="str">
        <f>VLOOKUP(K586,K$1:$L$601,1,FALSE)</f>
        <v>B2B</v>
      </c>
      <c r="AJ590" s="6">
        <f>VLOOKUP(L586,L$1:$L$601,1,FALSE)</f>
        <v>2513.75</v>
      </c>
    </row>
    <row r="591" spans="1:36" x14ac:dyDescent="0.25">
      <c r="A591" t="s">
        <v>622</v>
      </c>
      <c r="B591" t="s">
        <v>642</v>
      </c>
      <c r="C591" t="s">
        <v>36</v>
      </c>
      <c r="D591" t="s">
        <v>37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33</v>
      </c>
      <c r="K591" t="s">
        <v>16</v>
      </c>
      <c r="L591" s="2">
        <v>2709.47</v>
      </c>
      <c r="Y591" s="6" t="str">
        <f>VLOOKUP(A587,A$1:$L$601,1,FALSE)</f>
        <v>Unknown</v>
      </c>
      <c r="Z591" s="6" t="str">
        <f>VLOOKUP(B587,B$1:$L$601,1,FALSE)</f>
        <v>Nathaniel Thomas</v>
      </c>
      <c r="AA591" s="6" t="str">
        <f>VLOOKUP(C587,C$1:$L$601,1,FALSE)</f>
        <v>Jeans</v>
      </c>
      <c r="AB591" s="6" t="str">
        <f>VLOOKUP(D587,D$1:$L$601,1,FALSE)</f>
        <v>Straight Cut</v>
      </c>
      <c r="AC591" s="6">
        <f>VLOOKUP(E587,E$1:$L$601,1,FALSE)</f>
        <v>1</v>
      </c>
      <c r="AD591" s="6">
        <f>VLOOKUP(F587,F$1:$L$601,1,FALSE)</f>
        <v>4601.4399999999996</v>
      </c>
      <c r="AE591" s="6">
        <f>VLOOKUP(G587,G$1:$L$601,1,FALSE)</f>
        <v>0.58977272727272723</v>
      </c>
      <c r="AF591" s="6">
        <f>VLOOKUP(H587,H$1:$L$601,1,FALSE)</f>
        <v>0</v>
      </c>
      <c r="AG591" s="6">
        <f>VLOOKUP(I587,I$1:$L$601,1,FALSE)</f>
        <v>45642</v>
      </c>
      <c r="AH591" s="6" t="str">
        <f>VLOOKUP(J587,J$1:$L$601,1,FALSE)</f>
        <v>MUMBAI</v>
      </c>
      <c r="AI591" s="6" t="str">
        <f>VLOOKUP(K587,K$1:$L$601,1,FALSE)</f>
        <v>B2C</v>
      </c>
      <c r="AJ591" s="6">
        <f>VLOOKUP(L587,L$1:$L$601,1,FALSE)</f>
        <v>2145.66</v>
      </c>
    </row>
    <row r="592" spans="1:36" x14ac:dyDescent="0.25">
      <c r="A592" t="s">
        <v>622</v>
      </c>
      <c r="B592" t="s">
        <v>643</v>
      </c>
      <c r="C592" t="s">
        <v>31</v>
      </c>
      <c r="D592" t="s">
        <v>32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33</v>
      </c>
      <c r="K592" t="s">
        <v>16</v>
      </c>
      <c r="L592" s="2">
        <v>2969.19</v>
      </c>
      <c r="Y592" s="6" t="str">
        <f>VLOOKUP(A588,A$1:$L$601,1,FALSE)</f>
        <v>Unknown</v>
      </c>
      <c r="Z592" s="6" t="str">
        <f>VLOOKUP(B588,B$1:$L$601,1,FALSE)</f>
        <v>Dalton Logan</v>
      </c>
      <c r="AA592" s="6" t="str">
        <f>VLOOKUP(C588,C$1:$L$601,1,FALSE)</f>
        <v>Dresses</v>
      </c>
      <c r="AB592" s="6" t="str">
        <f>VLOOKUP(D588,D$1:$L$601,1,FALSE)</f>
        <v>Casual Midi</v>
      </c>
      <c r="AC592" s="6">
        <f>VLOOKUP(E588,E$1:$L$601,1,FALSE)</f>
        <v>2</v>
      </c>
      <c r="AD592" s="6">
        <f>VLOOKUP(F588,F$1:$L$601,1,FALSE)</f>
        <v>3134.69</v>
      </c>
      <c r="AE592" s="6">
        <f>VLOOKUP(G588,G$1:$L$601,1,FALSE)</f>
        <v>7.0000000000000007E-2</v>
      </c>
      <c r="AF592" s="6">
        <f>VLOOKUP(H588,H$1:$L$601,1,FALSE)</f>
        <v>5830.52</v>
      </c>
      <c r="AG592" s="6">
        <f>VLOOKUP(I588,I$1:$L$601,1,FALSE)</f>
        <v>45626.838268792708</v>
      </c>
      <c r="AH592" s="6" t="str">
        <f>VLOOKUP(J588,J$1:$L$601,1,FALSE)</f>
        <v>DELHI</v>
      </c>
      <c r="AI592" s="6" t="str">
        <f>VLOOKUP(K588,K$1:$L$601,1,FALSE)</f>
        <v>B2C</v>
      </c>
      <c r="AJ592" s="6">
        <f>VLOOKUP(L588,L$1:$L$601,1,FALSE)</f>
        <v>555.44000000000005</v>
      </c>
    </row>
    <row r="593" spans="1:36" x14ac:dyDescent="0.25">
      <c r="A593" t="s">
        <v>622</v>
      </c>
      <c r="B593" t="s">
        <v>644</v>
      </c>
      <c r="C593" t="s">
        <v>21</v>
      </c>
      <c r="D593" t="s">
        <v>22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  <c r="Y593" s="6" t="str">
        <f>VLOOKUP(A589,A$1:$L$601,1,FALSE)</f>
        <v>Unknown</v>
      </c>
      <c r="Z593" s="6" t="str">
        <f>VLOOKUP(B589,B$1:$L$601,1,FALSE)</f>
        <v>Tim Jennings</v>
      </c>
      <c r="AA593" s="6" t="str">
        <f>VLOOKUP(C589,C$1:$L$601,1,FALSE)</f>
        <v>T-Shirts</v>
      </c>
      <c r="AB593" s="6" t="str">
        <f>VLOOKUP(D589,D$1:$L$601,1,FALSE)</f>
        <v>Classic Tee</v>
      </c>
      <c r="AC593" s="6">
        <f>VLOOKUP(E589,E$1:$L$601,1,FALSE)</f>
        <v>2</v>
      </c>
      <c r="AD593" s="6">
        <f>VLOOKUP(F589,F$1:$L$601,1,FALSE)</f>
        <v>2742.2927659574466</v>
      </c>
      <c r="AE593" s="6">
        <f>VLOOKUP(G589,G$1:$L$601,1,FALSE)</f>
        <v>0.18</v>
      </c>
      <c r="AF593" s="6">
        <f>VLOOKUP(H589,H$1:$L$601,1,FALSE)</f>
        <v>0</v>
      </c>
      <c r="AG593" s="6">
        <f>VLOOKUP(I589,I$1:$L$601,1,FALSE)</f>
        <v>45626.838268792708</v>
      </c>
      <c r="AH593" s="6" t="str">
        <f>VLOOKUP(J589,J$1:$L$601,1,FALSE)</f>
        <v>BANGALORE</v>
      </c>
      <c r="AI593" s="6" t="str">
        <f>VLOOKUP(K589,K$1:$L$601,1,FALSE)</f>
        <v>B2B</v>
      </c>
      <c r="AJ593" s="6">
        <f>VLOOKUP(L589,L$1:$L$601,1,FALSE)</f>
        <v>2721.4</v>
      </c>
    </row>
    <row r="594" spans="1:36" x14ac:dyDescent="0.25">
      <c r="A594" t="s">
        <v>622</v>
      </c>
      <c r="B594" t="s">
        <v>645</v>
      </c>
      <c r="C594" t="s">
        <v>21</v>
      </c>
      <c r="D594" t="s">
        <v>22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23</v>
      </c>
      <c r="K594" t="s">
        <v>16</v>
      </c>
      <c r="L594" s="2">
        <v>259.02999999999997</v>
      </c>
      <c r="Y594" s="6" t="str">
        <f>VLOOKUP(A590,A$1:$L$601,1,FALSE)</f>
        <v>Unknown</v>
      </c>
      <c r="Z594" s="6" t="str">
        <f>VLOOKUP(B590,B$1:$L$601,1,FALSE)</f>
        <v>Sarah Vance</v>
      </c>
      <c r="AA594" s="6" t="str">
        <f>VLOOKUP(C590,C$1:$L$601,1,FALSE)</f>
        <v>T-Shirts</v>
      </c>
      <c r="AB594" s="6" t="str">
        <f>VLOOKUP(D590,D$1:$L$601,1,FALSE)</f>
        <v>Classic Tee</v>
      </c>
      <c r="AC594" s="6">
        <f>VLOOKUP(E590,E$1:$L$601,1,FALSE)</f>
        <v>2</v>
      </c>
      <c r="AD594" s="6">
        <f>VLOOKUP(F590,F$1:$L$601,1,FALSE)</f>
        <v>2319.84</v>
      </c>
      <c r="AE594" s="6">
        <f>VLOOKUP(G590,G$1:$L$601,1,FALSE)</f>
        <v>0.65787878787878773</v>
      </c>
      <c r="AF594" s="6">
        <f>VLOOKUP(H590,H$1:$L$601,1,FALSE)</f>
        <v>0</v>
      </c>
      <c r="AG594" s="6">
        <f>VLOOKUP(I590,I$1:$L$601,1,FALSE)</f>
        <v>45626.838268792708</v>
      </c>
      <c r="AH594" s="6" t="str">
        <f>VLOOKUP(J590,J$1:$L$601,1,FALSE)</f>
        <v>BANGALORE</v>
      </c>
      <c r="AI594" s="6" t="str">
        <f>VLOOKUP(K590,K$1:$L$601,1,FALSE)</f>
        <v>B2B</v>
      </c>
      <c r="AJ594" s="6">
        <f>VLOOKUP(L590,L$1:$L$601,1,FALSE)</f>
        <v>1669.55</v>
      </c>
    </row>
    <row r="595" spans="1:36" x14ac:dyDescent="0.25">
      <c r="A595" t="s">
        <v>622</v>
      </c>
      <c r="B595" t="s">
        <v>646</v>
      </c>
      <c r="C595" t="s">
        <v>36</v>
      </c>
      <c r="D595" t="s">
        <v>81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  <c r="Y595" s="6" t="str">
        <f>VLOOKUP(A591,A$1:$L$601,1,FALSE)</f>
        <v>Unknown</v>
      </c>
      <c r="Z595" s="6" t="str">
        <f>VLOOKUP(B591,B$1:$L$601,1,FALSE)</f>
        <v>Steve Mann</v>
      </c>
      <c r="AA595" s="6" t="str">
        <f>VLOOKUP(C591,C$1:$L$601,1,FALSE)</f>
        <v>T-Shirts</v>
      </c>
      <c r="AB595" s="6" t="str">
        <f>VLOOKUP(D591,D$1:$L$601,1,FALSE)</f>
        <v>Crop Top</v>
      </c>
      <c r="AC595" s="6">
        <f>VLOOKUP(E591,E$1:$L$601,1,FALSE)</f>
        <v>0</v>
      </c>
      <c r="AD595" s="6">
        <f>VLOOKUP(F591,F$1:$L$601,1,FALSE)</f>
        <v>2742.2927659574466</v>
      </c>
      <c r="AE595" s="6">
        <f>VLOOKUP(G591,G$1:$L$601,1,FALSE)</f>
        <v>0.65787878787878773</v>
      </c>
      <c r="AF595" s="6">
        <f>VLOOKUP(H591,H$1:$L$601,1,FALSE)</f>
        <v>0</v>
      </c>
      <c r="AG595" s="6">
        <f>VLOOKUP(I591,I$1:$L$601,1,FALSE)</f>
        <v>45626.838268792708</v>
      </c>
      <c r="AH595" s="6" t="str">
        <f>VLOOKUP(J591,J$1:$L$601,1,FALSE)</f>
        <v>HYDERBAD</v>
      </c>
      <c r="AI595" s="6" t="str">
        <f>VLOOKUP(K591,K$1:$L$601,1,FALSE)</f>
        <v>B2C</v>
      </c>
      <c r="AJ595" s="6">
        <f>VLOOKUP(L591,L$1:$L$601,1,FALSE)</f>
        <v>2709.47</v>
      </c>
    </row>
    <row r="596" spans="1:36" x14ac:dyDescent="0.25">
      <c r="A596" t="s">
        <v>622</v>
      </c>
      <c r="B596" t="s">
        <v>647</v>
      </c>
      <c r="C596" t="s">
        <v>27</v>
      </c>
      <c r="D596" t="s">
        <v>55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24</v>
      </c>
      <c r="L596" s="2">
        <v>1663.45</v>
      </c>
      <c r="Y596" s="6" t="str">
        <f>VLOOKUP(A592,A$1:$L$601,1,FALSE)</f>
        <v>Unknown</v>
      </c>
      <c r="Z596" s="6" t="str">
        <f>VLOOKUP(B592,B$1:$L$601,1,FALSE)</f>
        <v>Carla Phillips</v>
      </c>
      <c r="AA596" s="6" t="str">
        <f>VLOOKUP(C592,C$1:$L$601,1,FALSE)</f>
        <v>Accessories</v>
      </c>
      <c r="AB596" s="6" t="str">
        <f>VLOOKUP(D592,D$1:$L$601,1,FALSE)</f>
        <v>Belts</v>
      </c>
      <c r="AC596" s="6">
        <f>VLOOKUP(E592,E$1:$L$601,1,FALSE)</f>
        <v>2.4893617021276597</v>
      </c>
      <c r="AD596" s="6">
        <f>VLOOKUP(F592,F$1:$L$601,1,FALSE)</f>
        <v>421.92</v>
      </c>
      <c r="AE596" s="6">
        <f>VLOOKUP(G592,G$1:$L$601,1,FALSE)</f>
        <v>0.70297297297297334</v>
      </c>
      <c r="AF596" s="6">
        <f>VLOOKUP(H592,H$1:$L$601,1,FALSE)</f>
        <v>0</v>
      </c>
      <c r="AG596" s="6">
        <f>VLOOKUP(I592,I$1:$L$601,1,FALSE)</f>
        <v>45626.838268792708</v>
      </c>
      <c r="AH596" s="6" t="str">
        <f>VLOOKUP(J592,J$1:$L$601,1,FALSE)</f>
        <v>HYDERBAD</v>
      </c>
      <c r="AI596" s="6" t="str">
        <f>VLOOKUP(K592,K$1:$L$601,1,FALSE)</f>
        <v>B2C</v>
      </c>
      <c r="AJ596" s="6">
        <f>VLOOKUP(L592,L$1:$L$601,1,FALSE)</f>
        <v>2969.19</v>
      </c>
    </row>
    <row r="597" spans="1:36" x14ac:dyDescent="0.25">
      <c r="A597" t="s">
        <v>622</v>
      </c>
      <c r="B597" t="s">
        <v>648</v>
      </c>
      <c r="C597" t="s">
        <v>36</v>
      </c>
      <c r="D597" t="s">
        <v>71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29</v>
      </c>
      <c r="K597" t="s">
        <v>16</v>
      </c>
      <c r="L597" s="2">
        <v>194.31</v>
      </c>
      <c r="Y597" s="6" t="str">
        <f>VLOOKUP(A593,A$1:$L$601,1,FALSE)</f>
        <v>Unknown</v>
      </c>
      <c r="Z597" s="6" t="str">
        <f>VLOOKUP(B593,B$1:$L$601,1,FALSE)</f>
        <v>Michael James</v>
      </c>
      <c r="AA597" s="6" t="str">
        <f>VLOOKUP(C593,C$1:$L$601,1,FALSE)</f>
        <v>Jackets</v>
      </c>
      <c r="AB597" s="6" t="str">
        <f>VLOOKUP(D593,D$1:$L$601,1,FALSE)</f>
        <v>Puffer Coat</v>
      </c>
      <c r="AC597" s="6">
        <f>VLOOKUP(E593,E$1:$L$601,1,FALSE)</f>
        <v>2</v>
      </c>
      <c r="AD597" s="6">
        <f>VLOOKUP(F593,F$1:$L$601,1,FALSE)</f>
        <v>2811.5702272727276</v>
      </c>
      <c r="AE597" s="6">
        <f>VLOOKUP(G593,G$1:$L$601,1,FALSE)</f>
        <v>0.69969696969696993</v>
      </c>
      <c r="AF597" s="6">
        <f>VLOOKUP(H593,H$1:$L$601,1,FALSE)</f>
        <v>0</v>
      </c>
      <c r="AG597" s="6">
        <f>VLOOKUP(I593,I$1:$L$601,1,FALSE)</f>
        <v>45574</v>
      </c>
      <c r="AH597" s="6" t="str">
        <f>VLOOKUP(J593,J$1:$L$601,1,FALSE)</f>
        <v>DELHI</v>
      </c>
      <c r="AI597" s="6" t="str">
        <f>VLOOKUP(K593,K$1:$L$601,1,FALSE)</f>
        <v>B2C</v>
      </c>
      <c r="AJ597" s="6">
        <f>VLOOKUP(L593,L$1:$L$601,1,FALSE)</f>
        <v>1647.38</v>
      </c>
    </row>
    <row r="598" spans="1:36" x14ac:dyDescent="0.25">
      <c r="A598" t="s">
        <v>622</v>
      </c>
      <c r="B598" t="s">
        <v>649</v>
      </c>
      <c r="C598" t="s">
        <v>31</v>
      </c>
      <c r="D598" t="s">
        <v>119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19</v>
      </c>
      <c r="K598" t="s">
        <v>24</v>
      </c>
      <c r="L598" s="2">
        <v>2502.73</v>
      </c>
      <c r="Y598" s="6" t="str">
        <f>VLOOKUP(A594,A$1:$L$601,1,FALSE)</f>
        <v>Unknown</v>
      </c>
      <c r="Z598" s="6" t="str">
        <f>VLOOKUP(B594,B$1:$L$601,1,FALSE)</f>
        <v>Christopher Ferguson</v>
      </c>
      <c r="AA598" s="6" t="str">
        <f>VLOOKUP(C594,C$1:$L$601,1,FALSE)</f>
        <v>Jackets</v>
      </c>
      <c r="AB598" s="6" t="str">
        <f>VLOOKUP(D594,D$1:$L$601,1,FALSE)</f>
        <v>Puffer Coat</v>
      </c>
      <c r="AC598" s="6">
        <f>VLOOKUP(E594,E$1:$L$601,1,FALSE)</f>
        <v>1.5178571428571428</v>
      </c>
      <c r="AD598" s="6">
        <f>VLOOKUP(F594,F$1:$L$601,1,FALSE)</f>
        <v>548.19000000000005</v>
      </c>
      <c r="AE598" s="6">
        <f>VLOOKUP(G594,G$1:$L$601,1,FALSE)</f>
        <v>0.69969696969696993</v>
      </c>
      <c r="AF598" s="6">
        <f>VLOOKUP(H594,H$1:$L$601,1,FALSE)</f>
        <v>0</v>
      </c>
      <c r="AG598" s="6">
        <f>VLOOKUP(I594,I$1:$L$601,1,FALSE)</f>
        <v>45484</v>
      </c>
      <c r="AH598" s="6" t="str">
        <f>VLOOKUP(J594,J$1:$L$601,1,FALSE)</f>
        <v>MUMBAI</v>
      </c>
      <c r="AI598" s="6" t="str">
        <f>VLOOKUP(K594,K$1:$L$601,1,FALSE)</f>
        <v>B2C</v>
      </c>
      <c r="AJ598" s="6">
        <f>VLOOKUP(L594,L$1:$L$601,1,FALSE)</f>
        <v>259.02999999999997</v>
      </c>
    </row>
    <row r="599" spans="1:36" x14ac:dyDescent="0.25">
      <c r="A599" t="s">
        <v>622</v>
      </c>
      <c r="B599" t="s">
        <v>650</v>
      </c>
      <c r="C599" t="s">
        <v>36</v>
      </c>
      <c r="D599" t="s">
        <v>37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  <c r="Y599" s="6" t="str">
        <f>VLOOKUP(A595,A$1:$L$601,1,FALSE)</f>
        <v>Unknown</v>
      </c>
      <c r="Z599" s="6" t="str">
        <f>VLOOKUP(B595,B$1:$L$601,1,FALSE)</f>
        <v>Valerie Ramirez</v>
      </c>
      <c r="AA599" s="6" t="str">
        <f>VLOOKUP(C595,C$1:$L$601,1,FALSE)</f>
        <v>T-Shirts</v>
      </c>
      <c r="AB599" s="6" t="str">
        <f>VLOOKUP(D595,D$1:$L$601,1,FALSE)</f>
        <v>Graphic Tee</v>
      </c>
      <c r="AC599" s="6">
        <f>VLOOKUP(E595,E$1:$L$601,1,FALSE)</f>
        <v>4</v>
      </c>
      <c r="AD599" s="6">
        <f>VLOOKUP(F595,F$1:$L$601,1,FALSE)</f>
        <v>2742.2927659574466</v>
      </c>
      <c r="AE599" s="6">
        <f>VLOOKUP(G595,G$1:$L$601,1,FALSE)</f>
        <v>0.65787878787878773</v>
      </c>
      <c r="AF599" s="6">
        <f>VLOOKUP(H595,H$1:$L$601,1,FALSE)</f>
        <v>0</v>
      </c>
      <c r="AG599" s="6">
        <f>VLOOKUP(I595,I$1:$L$601,1,FALSE)</f>
        <v>45456</v>
      </c>
      <c r="AH599" s="6" t="str">
        <f>VLOOKUP(J595,J$1:$L$601,1,FALSE)</f>
        <v>DELHI</v>
      </c>
      <c r="AI599" s="6" t="str">
        <f>VLOOKUP(K595,K$1:$L$601,1,FALSE)</f>
        <v>B2C</v>
      </c>
      <c r="AJ599" s="6">
        <f>VLOOKUP(L595,L$1:$L$601,1,FALSE)</f>
        <v>-401.44</v>
      </c>
    </row>
    <row r="600" spans="1:36" x14ac:dyDescent="0.25">
      <c r="A600" t="s">
        <v>622</v>
      </c>
      <c r="B600" t="s">
        <v>651</v>
      </c>
      <c r="C600" t="s">
        <v>41</v>
      </c>
      <c r="D600" t="s">
        <v>63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23</v>
      </c>
      <c r="K600" t="s">
        <v>16</v>
      </c>
      <c r="L600" s="2">
        <v>673.33</v>
      </c>
      <c r="Y600" s="6" t="str">
        <f>VLOOKUP(A596,A$1:$L$601,1,FALSE)</f>
        <v>Unknown</v>
      </c>
      <c r="Z600" s="6" t="str">
        <f>VLOOKUP(B596,B$1:$L$601,1,FALSE)</f>
        <v>William Ortiz</v>
      </c>
      <c r="AA600" s="6" t="str">
        <f>VLOOKUP(C596,C$1:$L$601,1,FALSE)</f>
        <v>Shoes</v>
      </c>
      <c r="AB600" s="6" t="str">
        <f>VLOOKUP(D596,D$1:$L$601,1,FALSE)</f>
        <v>Sneakers</v>
      </c>
      <c r="AC600" s="6">
        <f>VLOOKUP(E596,E$1:$L$601,1,FALSE)</f>
        <v>1.6216216216216217</v>
      </c>
      <c r="AD600" s="6">
        <f>VLOOKUP(F596,F$1:$L$601,1,FALSE)</f>
        <v>3389.44</v>
      </c>
      <c r="AE600" s="6">
        <f>VLOOKUP(G596,G$1:$L$601,1,FALSE)</f>
        <v>0.09</v>
      </c>
      <c r="AF600" s="6">
        <f>VLOOKUP(H596,H$1:$L$601,1,FALSE)</f>
        <v>0</v>
      </c>
      <c r="AG600" s="6">
        <f>VLOOKUP(I596,I$1:$L$601,1,FALSE)</f>
        <v>45334</v>
      </c>
      <c r="AH600" s="6" t="str">
        <f>VLOOKUP(J596,J$1:$L$601,1,FALSE)</f>
        <v>DELHI</v>
      </c>
      <c r="AI600" s="6" t="str">
        <f>VLOOKUP(K596,K$1:$L$601,1,FALSE)</f>
        <v>B2B</v>
      </c>
      <c r="AJ600" s="6">
        <f>VLOOKUP(L596,L$1:$L$601,1,FALSE)</f>
        <v>1663.45</v>
      </c>
    </row>
    <row r="601" spans="1:36" x14ac:dyDescent="0.25">
      <c r="A601" t="s">
        <v>622</v>
      </c>
      <c r="B601" t="s">
        <v>652</v>
      </c>
      <c r="C601" t="s">
        <v>31</v>
      </c>
      <c r="D601" t="s">
        <v>119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29</v>
      </c>
      <c r="K601" t="s">
        <v>16</v>
      </c>
      <c r="L601" s="2">
        <v>1390.52</v>
      </c>
      <c r="Y601" s="6" t="str">
        <f>VLOOKUP(A597,A$1:$L$601,1,FALSE)</f>
        <v>Unknown</v>
      </c>
      <c r="Z601" s="6" t="str">
        <f>VLOOKUP(B597,B$1:$L$601,1,FALSE)</f>
        <v>Eric Williams</v>
      </c>
      <c r="AA601" s="6" t="str">
        <f>VLOOKUP(C597,C$1:$L$601,1,FALSE)</f>
        <v>T-Shirts</v>
      </c>
      <c r="AB601" s="6" t="str">
        <f>VLOOKUP(D597,D$1:$L$601,1,FALSE)</f>
        <v>Classic Tee</v>
      </c>
      <c r="AC601" s="6">
        <f>VLOOKUP(E597,E$1:$L$601,1,FALSE)</f>
        <v>6</v>
      </c>
      <c r="AD601" s="6">
        <f>VLOOKUP(F597,F$1:$L$601,1,FALSE)</f>
        <v>3792.09</v>
      </c>
      <c r="AE601" s="6">
        <f>VLOOKUP(G597,G$1:$L$601,1,FALSE)</f>
        <v>0.65787878787878773</v>
      </c>
      <c r="AF601" s="6">
        <f>VLOOKUP(H597,H$1:$L$601,1,FALSE)</f>
        <v>0</v>
      </c>
      <c r="AG601" s="6">
        <f>VLOOKUP(I597,I$1:$L$601,1,FALSE)</f>
        <v>45263</v>
      </c>
      <c r="AH601" s="6" t="str">
        <f>VLOOKUP(J597,J$1:$L$601,1,FALSE)</f>
        <v>BANGALORE</v>
      </c>
      <c r="AI601" s="6" t="str">
        <f>VLOOKUP(K597,K$1:$L$601,1,FALSE)</f>
        <v>B2C</v>
      </c>
      <c r="AJ601" s="6">
        <f>VLOOKUP(L597,L$1:$L$601,1,FALSE)</f>
        <v>194.31</v>
      </c>
    </row>
    <row r="602" spans="1:36" x14ac:dyDescent="0.25">
      <c r="Y602" s="6" t="str">
        <f>VLOOKUP(A598,A$1:$L$601,1,FALSE)</f>
        <v>Unknown</v>
      </c>
      <c r="Z602" s="6" t="str">
        <f>VLOOKUP(B598,B$1:$L$601,1,FALSE)</f>
        <v>John Taylor</v>
      </c>
      <c r="AA602" s="6" t="str">
        <f>VLOOKUP(C598,C$1:$L$601,1,FALSE)</f>
        <v>Accessories</v>
      </c>
      <c r="AB602" s="6" t="str">
        <f>VLOOKUP(D598,D$1:$L$601,1,FALSE)</f>
        <v>Watches</v>
      </c>
      <c r="AC602" s="6">
        <f>VLOOKUP(E598,E$1:$L$601,1,FALSE)</f>
        <v>2.4893617021276597</v>
      </c>
      <c r="AD602" s="6">
        <f>VLOOKUP(F598,F$1:$L$601,1,FALSE)</f>
        <v>2706.1301960784322</v>
      </c>
      <c r="AE602" s="6">
        <f>VLOOKUP(G598,G$1:$L$601,1,FALSE)</f>
        <v>0.70297297297297334</v>
      </c>
      <c r="AF602" s="6">
        <f>VLOOKUP(H598,H$1:$L$601,1,FALSE)</f>
        <v>0</v>
      </c>
      <c r="AG602" s="6">
        <f>VLOOKUP(I598,I$1:$L$601,1,FALSE)</f>
        <v>45240</v>
      </c>
      <c r="AH602" s="6" t="str">
        <f>VLOOKUP(J598,J$1:$L$601,1,FALSE)</f>
        <v>AHMEDABAD</v>
      </c>
      <c r="AI602" s="6" t="str">
        <f>VLOOKUP(K598,K$1:$L$601,1,FALSE)</f>
        <v>B2B</v>
      </c>
      <c r="AJ602" s="6">
        <f>VLOOKUP(L598,L$1:$L$601,1,FALSE)</f>
        <v>2502.73</v>
      </c>
    </row>
    <row r="603" spans="1:36" x14ac:dyDescent="0.25">
      <c r="Y603" s="6" t="str">
        <f>VLOOKUP(A599,A$1:$L$601,1,FALSE)</f>
        <v>Unknown</v>
      </c>
      <c r="Z603" s="6" t="str">
        <f>VLOOKUP(B599,B$1:$L$601,1,FALSE)</f>
        <v>Jacob Morris</v>
      </c>
      <c r="AA603" s="6" t="str">
        <f>VLOOKUP(C599,C$1:$L$601,1,FALSE)</f>
        <v>T-Shirts</v>
      </c>
      <c r="AB603" s="6" t="str">
        <f>VLOOKUP(D599,D$1:$L$601,1,FALSE)</f>
        <v>Crop Top</v>
      </c>
      <c r="AC603" s="6">
        <f>VLOOKUP(E599,E$1:$L$601,1,FALSE)</f>
        <v>0</v>
      </c>
      <c r="AD603" s="6">
        <f>VLOOKUP(F599,F$1:$L$601,1,FALSE)</f>
        <v>2742.2927659574466</v>
      </c>
      <c r="AE603" s="6">
        <f>VLOOKUP(G599,G$1:$L$601,1,FALSE)</f>
        <v>0.65787878787878773</v>
      </c>
      <c r="AF603" s="6">
        <f>VLOOKUP(H599,H$1:$L$601,1,FALSE)</f>
        <v>0</v>
      </c>
      <c r="AG603" s="6">
        <f>VLOOKUP(I599,I$1:$L$601,1,FALSE)</f>
        <v>45230</v>
      </c>
      <c r="AH603" s="6" t="str">
        <f>VLOOKUP(J599,J$1:$L$601,1,FALSE)</f>
        <v>DELHI</v>
      </c>
      <c r="AI603" s="6" t="str">
        <f>VLOOKUP(K599,K$1:$L$601,1,FALSE)</f>
        <v>B2C</v>
      </c>
      <c r="AJ603" s="6">
        <f>VLOOKUP(L599,L$1:$L$601,1,FALSE)</f>
        <v>2916.18</v>
      </c>
    </row>
    <row r="604" spans="1:36" x14ac:dyDescent="0.25">
      <c r="Y604" s="6" t="str">
        <f>VLOOKUP(A600,A$1:$L$601,1,FALSE)</f>
        <v>Unknown</v>
      </c>
      <c r="Z604" s="6" t="str">
        <f>VLOOKUP(B600,B$1:$L$601,1,FALSE)</f>
        <v>Keith Schroeder</v>
      </c>
      <c r="AA604" s="6" t="str">
        <f>VLOOKUP(C600,C$1:$L$601,1,FALSE)</f>
        <v>Dresses</v>
      </c>
      <c r="AB604" s="6" t="str">
        <f>VLOOKUP(D600,D$1:$L$601,1,FALSE)</f>
        <v>Wrap Dress</v>
      </c>
      <c r="AC604" s="6">
        <f>VLOOKUP(E600,E$1:$L$601,1,FALSE)</f>
        <v>2.1864406779661016</v>
      </c>
      <c r="AD604" s="6">
        <f>VLOOKUP(F600,F$1:$L$601,1,FALSE)</f>
        <v>3172.11</v>
      </c>
      <c r="AE604" s="6">
        <f>VLOOKUP(G600,G$1:$L$601,1,FALSE)</f>
        <v>0.55000000000000004</v>
      </c>
      <c r="AF604" s="6">
        <f>VLOOKUP(H600,H$1:$L$601,1,FALSE)</f>
        <v>0</v>
      </c>
      <c r="AG604" s="6">
        <f>VLOOKUP(I600,I$1:$L$601,1,FALSE)</f>
        <v>45176</v>
      </c>
      <c r="AH604" s="6" t="str">
        <f>VLOOKUP(J600,J$1:$L$601,1,FALSE)</f>
        <v>MUMBAI</v>
      </c>
      <c r="AI604" s="6" t="str">
        <f>VLOOKUP(K600,K$1:$L$601,1,FALSE)</f>
        <v>B2C</v>
      </c>
      <c r="AJ604" s="6">
        <f>VLOOKUP(L600,L$1:$L$601,1,FALSE)</f>
        <v>673.33</v>
      </c>
    </row>
    <row r="605" spans="1:36" x14ac:dyDescent="0.25">
      <c r="Y605" s="6" t="str">
        <f>VLOOKUP(A601,A$1:$L$601,1,FALSE)</f>
        <v>Unknown</v>
      </c>
      <c r="Z605" s="6" t="str">
        <f>VLOOKUP(B601,B$1:$L$601,1,FALSE)</f>
        <v>Angela Newman</v>
      </c>
      <c r="AA605" s="6" t="str">
        <f>VLOOKUP(C601,C$1:$L$601,1,FALSE)</f>
        <v>Accessories</v>
      </c>
      <c r="AB605" s="6" t="str">
        <f>VLOOKUP(D601,D$1:$L$601,1,FALSE)</f>
        <v>Watches</v>
      </c>
      <c r="AC605" s="6">
        <f>VLOOKUP(E601,E$1:$L$601,1,FALSE)</f>
        <v>2.4893617021276597</v>
      </c>
      <c r="AD605" s="6">
        <f>VLOOKUP(F601,F$1:$L$601,1,FALSE)</f>
        <v>1316.64</v>
      </c>
      <c r="AE605" s="6">
        <f>VLOOKUP(G601,G$1:$L$601,1,FALSE)</f>
        <v>0.70297297297297334</v>
      </c>
      <c r="AF605" s="6">
        <f>VLOOKUP(H601,H$1:$L$601,1,FALSE)</f>
        <v>0</v>
      </c>
      <c r="AG605" s="6">
        <f>VLOOKUP(I601,I$1:$L$601,1,FALSE)</f>
        <v>45151</v>
      </c>
      <c r="AH605" s="6" t="str">
        <f>VLOOKUP(J601,J$1:$L$601,1,FALSE)</f>
        <v>BANGALORE</v>
      </c>
      <c r="AI605" s="6" t="str">
        <f>VLOOKUP(K601,K$1:$L$601,1,FALSE)</f>
        <v>B2C</v>
      </c>
      <c r="AJ605" s="6">
        <f>VLOOKUP(L601,L$1:$L$601,1,FALSE)</f>
        <v>1390.52</v>
      </c>
    </row>
  </sheetData>
  <mergeCells count="2">
    <mergeCell ref="AB2:AF3"/>
    <mergeCell ref="Q4:T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13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2026-04-20T15:06:52Z</dcterms:created>
  <dcterms:modified xsi:type="dcterms:W3CDTF">2026-04-20T17:55:26Z</dcterms:modified>
</cp:coreProperties>
</file>