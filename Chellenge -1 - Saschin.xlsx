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4"/>
  <workbookPr/>
  <mc:AlternateContent xmlns:mc="http://schemas.openxmlformats.org/markup-compatibility/2006">
    <mc:Choice Requires="x15">
      <x15ac:absPath xmlns:x15ac="http://schemas.microsoft.com/office/spreadsheetml/2010/11/ac" url="F:\Entri\EXCEL Files\"/>
    </mc:Choice>
  </mc:AlternateContent>
  <xr:revisionPtr revIDLastSave="0" documentId="13_ncr:1_{B229D521-7698-4FD3-AB9B-F833827D313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ataset" sheetId="1" r:id="rId1"/>
    <sheet name="Tasks" sheetId="2" r:id="rId2"/>
    <sheet name="Resul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G2" i="3"/>
  <c r="G3" i="3"/>
  <c r="G4" i="3"/>
  <c r="G7" i="3"/>
  <c r="F6" i="3"/>
  <c r="G6" i="3" s="1"/>
  <c r="E5" i="3"/>
  <c r="G5" i="3" s="1"/>
</calcChain>
</file>

<file path=xl/sharedStrings.xml><?xml version="1.0" encoding="utf-8"?>
<sst xmlns="http://schemas.openxmlformats.org/spreadsheetml/2006/main" count="76" uniqueCount="46">
  <si>
    <t>Emp ID</t>
  </si>
  <si>
    <t>Full Name</t>
  </si>
  <si>
    <t>Department</t>
  </si>
  <si>
    <t>Salary</t>
  </si>
  <si>
    <t>Bonus %</t>
  </si>
  <si>
    <t>Total Salary</t>
  </si>
  <si>
    <t>Email ID</t>
  </si>
  <si>
    <t>Phone Number</t>
  </si>
  <si>
    <t>Ravi Kumar</t>
  </si>
  <si>
    <t>Sales</t>
  </si>
  <si>
    <t>ravikumar@gmail.com</t>
  </si>
  <si>
    <t>Priya Sharma</t>
  </si>
  <si>
    <t>HR</t>
  </si>
  <si>
    <t>priyasharma@gmail.com</t>
  </si>
  <si>
    <t>Arun Kumar</t>
  </si>
  <si>
    <t>IT</t>
  </si>
  <si>
    <t>arunkumar@gmail.com</t>
  </si>
  <si>
    <t>Meena Das</t>
  </si>
  <si>
    <t>Finance</t>
  </si>
  <si>
    <t>meenadas@gmail.com</t>
  </si>
  <si>
    <t>Sita Roy</t>
  </si>
  <si>
    <t>Marketing</t>
  </si>
  <si>
    <t>sitaroy@gmail.com</t>
  </si>
  <si>
    <t>John Peter</t>
  </si>
  <si>
    <t>johnpeter@gmail.com</t>
  </si>
  <si>
    <t>Task</t>
  </si>
  <si>
    <t>Hint</t>
  </si>
  <si>
    <t>The HR team wants to prepare employee payouts for this month. Calculate each employee’s final payout by adding salary and bonus amount into the “Total Salary” column.</t>
  </si>
  <si>
    <t>Hint: Use Salary and Bonus % together in one formula.</t>
  </si>
  <si>
    <t>The manager wants separate first names for ID card printing. Create a new column that shows only the first name from each employee’s full name automatically.</t>
  </si>
  <si>
    <t>Hint: Type one example first, then use a smart Excel feature from the Data tab.</t>
  </si>
  <si>
    <t>While reviewing records, the admin notices that one employee entry appears more than once. Clean the dataset so each employee record appears only once.</t>
  </si>
  <si>
    <t>Hint: Check the Data tab for a cleanup option.</t>
  </si>
  <si>
    <t>Some employee details are incomplete, and payroll cannot be processed unless blanks are filled. Update the missing salary and bonus values wherever data is absent.</t>
  </si>
  <si>
    <t>Hint: Look carefully for empty cells before entering values.</t>
  </si>
  <si>
    <t>The IT manager needs to know how many employees belong to the IT department for reporting. Find the total count using a formula instead of counting manually.</t>
  </si>
  <si>
    <t>Hint: Use a counting formula with a condition.</t>
  </si>
  <si>
    <t>First Name</t>
  </si>
  <si>
    <t>Ravi</t>
  </si>
  <si>
    <t>Priya</t>
  </si>
  <si>
    <t>Arun</t>
  </si>
  <si>
    <t>Meena</t>
  </si>
  <si>
    <t>Sita</t>
  </si>
  <si>
    <t>John</t>
  </si>
  <si>
    <t>IT  Employess</t>
  </si>
  <si>
    <t xml:space="preserve">            # Removed 1 Duplicate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</si>
</sst>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5" tint="0.7999816888943144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5" tint="-0.499984740745262"/>
      <name val="Calibri"/>
      <family val="2"/>
      <scheme val="minor"/>
    </font>
    <font>
      <u/>
      <sz val="14"/>
      <color theme="5" tint="-0.499984740745262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9" fontId="4" fillId="3" borderId="1" xfId="0" applyNumberFormat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9" fontId="4" fillId="3" borderId="8" xfId="0" applyNumberFormat="1" applyFont="1" applyFill="1" applyBorder="1" applyAlignment="1">
      <alignment vertical="center" wrapText="1"/>
    </xf>
    <xf numFmtId="0" fontId="5" fillId="3" borderId="8" xfId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4" borderId="3" xfId="0" applyFont="1" applyFill="1" applyBorder="1" applyAlignment="1">
      <alignment horizontal="center" vertical="center" wrapText="1"/>
    </xf>
    <xf numFmtId="1" fontId="9" fillId="4" borderId="1" xfId="0" applyNumberFormat="1" applyFont="1" applyFill="1" applyBorder="1" applyAlignment="1">
      <alignment vertical="center" wrapText="1"/>
    </xf>
    <xf numFmtId="9" fontId="9" fillId="4" borderId="1" xfId="0" applyNumberFormat="1" applyFont="1" applyFill="1" applyBorder="1" applyAlignment="1">
      <alignment vertical="center" wrapText="1"/>
    </xf>
    <xf numFmtId="0" fontId="0" fillId="4" borderId="1" xfId="0" applyFill="1" applyBorder="1"/>
    <xf numFmtId="0" fontId="10" fillId="4" borderId="1" xfId="0" applyFont="1" applyFill="1" applyBorder="1" applyAlignment="1">
      <alignment horizontal="left" vertical="center"/>
    </xf>
    <xf numFmtId="0" fontId="11" fillId="0" borderId="0" xfId="0" applyFont="1"/>
  </cellXfs>
  <cellStyles count="2">
    <cellStyle name="Hyperlink" xfId="1" builtinId="8"/>
    <cellStyle name="Normal" xfId="0" builtinId="0"/>
  </cellStyles>
  <dxfs count="34">
    <dxf>
      <font>
        <strike val="0"/>
        <outline val="0"/>
        <shadow val="0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scheme val="minor"/>
      </font>
      <numFmt numFmtId="13" formatCode="0%"/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5" tint="0.79998168889431442"/>
        <name val="Calibri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scheme val="minor"/>
      </font>
      <numFmt numFmtId="13" formatCode="0%"/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5" tint="-0.499984740745262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5" tint="0.79998168889431442"/>
        <name val="Calibri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8" totalsRowShown="0" headerRowDxfId="33" dataDxfId="31" headerRowBorderDxfId="32" tableBorderDxfId="30" totalsRowBorderDxfId="29">
  <autoFilter ref="A1:H8" xr:uid="{00000000-0009-0000-0100-000001000000}"/>
  <tableColumns count="8">
    <tableColumn id="1" xr3:uid="{00000000-0010-0000-0000-000001000000}" name="Emp ID" dataDxfId="28"/>
    <tableColumn id="2" xr3:uid="{00000000-0010-0000-0000-000002000000}" name="Full Name" dataDxfId="27"/>
    <tableColumn id="3" xr3:uid="{00000000-0010-0000-0000-000003000000}" name="Department" dataDxfId="26"/>
    <tableColumn id="4" xr3:uid="{00000000-0010-0000-0000-000004000000}" name="Salary" dataDxfId="25"/>
    <tableColumn id="5" xr3:uid="{00000000-0010-0000-0000-000005000000}" name="Bonus %" dataDxfId="24"/>
    <tableColumn id="6" xr3:uid="{00000000-0010-0000-0000-000006000000}" name="Total Salary" dataDxfId="23"/>
    <tableColumn id="7" xr3:uid="{00000000-0010-0000-0000-000007000000}" name="Email ID" dataDxfId="22" dataCellStyle="Hyperlink"/>
    <tableColumn id="8" xr3:uid="{00000000-0010-0000-0000-000008000000}" name="Phone Number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B10" totalsRowShown="0" headerRowDxfId="20" dataDxfId="18" headerRowBorderDxfId="19" tableBorderDxfId="17" totalsRowBorderDxfId="16">
  <autoFilter ref="A1:B10" xr:uid="{00000000-0009-0000-0100-000002000000}"/>
  <tableColumns count="2">
    <tableColumn id="1" xr3:uid="{00000000-0010-0000-0100-000001000000}" name="Task" dataDxfId="15"/>
    <tableColumn id="2" xr3:uid="{00000000-0010-0000-0100-000002000000}" name="Hint" dataDxfId="14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4" displayName="Table14" ref="A1:I7" totalsRowShown="0" headerRowDxfId="13" dataDxfId="11" headerRowBorderDxfId="12" tableBorderDxfId="10" totalsRowBorderDxfId="9">
  <autoFilter ref="A1:I7" xr:uid="{00000000-0009-0000-0100-000003000000}"/>
  <tableColumns count="9">
    <tableColumn id="1" xr3:uid="{00000000-0010-0000-0200-000001000000}" name="Emp ID" dataDxfId="8"/>
    <tableColumn id="2" xr3:uid="{00000000-0010-0000-0200-000002000000}" name="Full Name" dataDxfId="7"/>
    <tableColumn id="9" xr3:uid="{00000000-0010-0000-0200-000009000000}" name="First Name" dataDxfId="6"/>
    <tableColumn id="3" xr3:uid="{00000000-0010-0000-0200-000003000000}" name="Department" dataDxfId="5"/>
    <tableColumn id="4" xr3:uid="{00000000-0010-0000-0200-000004000000}" name="Salary" dataDxfId="4"/>
    <tableColumn id="5" xr3:uid="{00000000-0010-0000-0200-000005000000}" name="Bonus %" dataDxfId="3"/>
    <tableColumn id="6" xr3:uid="{00000000-0010-0000-0200-000006000000}" name="Total Salary" dataDxfId="2">
      <calculatedColumnFormula>INT(SUM(Table14[[#This Row],[Salary]],(Table14[[#This Row],[Salary]]*Table14[[#This Row],[Bonus %]])))</calculatedColumnFormula>
    </tableColumn>
    <tableColumn id="7" xr3:uid="{00000000-0010-0000-0200-000007000000}" name="Email ID" dataDxfId="1" dataCellStyle="Hyperlink"/>
    <tableColumn id="8" xr3:uid="{00000000-0010-0000-0200-000008000000}" name="Phone Numb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arunkumar@gmail.com" TargetMode="External"/><Relationship Id="rId7" Type="http://schemas.openxmlformats.org/officeDocument/2006/relationships/hyperlink" Target="mailto:johnpeter@gmail.com" TargetMode="External"/><Relationship Id="rId2" Type="http://schemas.openxmlformats.org/officeDocument/2006/relationships/hyperlink" Target="mailto:priyasharma@gmail.com" TargetMode="External"/><Relationship Id="rId1" Type="http://schemas.openxmlformats.org/officeDocument/2006/relationships/hyperlink" Target="mailto:ravikumar@gmail.com" TargetMode="External"/><Relationship Id="rId6" Type="http://schemas.openxmlformats.org/officeDocument/2006/relationships/hyperlink" Target="mailto:sitaroy@gmail.com" TargetMode="External"/><Relationship Id="rId5" Type="http://schemas.openxmlformats.org/officeDocument/2006/relationships/hyperlink" Target="mailto:ravikumar@gmail.com" TargetMode="External"/><Relationship Id="rId4" Type="http://schemas.openxmlformats.org/officeDocument/2006/relationships/hyperlink" Target="mailto:meenada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mailto:arunkumar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priyasharma@gmail.com" TargetMode="External"/><Relationship Id="rId1" Type="http://schemas.openxmlformats.org/officeDocument/2006/relationships/hyperlink" Target="mailto:ravikumar@gmail.com" TargetMode="External"/><Relationship Id="rId6" Type="http://schemas.openxmlformats.org/officeDocument/2006/relationships/hyperlink" Target="mailto:johnpeter@gmail.com" TargetMode="External"/><Relationship Id="rId5" Type="http://schemas.openxmlformats.org/officeDocument/2006/relationships/hyperlink" Target="mailto:sitaroy@gmail.com" TargetMode="External"/><Relationship Id="rId4" Type="http://schemas.openxmlformats.org/officeDocument/2006/relationships/hyperlink" Target="mailto:meenad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H14" sqref="H14"/>
    </sheetView>
  </sheetViews>
  <sheetFormatPr defaultRowHeight="15" x14ac:dyDescent="0.25"/>
  <cols>
    <col min="1" max="1" width="13" bestFit="1" customWidth="1"/>
    <col min="2" max="3" width="16.28515625" bestFit="1" customWidth="1"/>
    <col min="4" max="4" width="11.85546875" bestFit="1" customWidth="1"/>
    <col min="5" max="5" width="14.28515625" bestFit="1" customWidth="1"/>
    <col min="6" max="6" width="17.85546875" bestFit="1" customWidth="1"/>
    <col min="7" max="7" width="27.85546875" customWidth="1"/>
    <col min="8" max="8" width="21.42578125" bestFit="1" customWidth="1"/>
  </cols>
  <sheetData>
    <row r="1" spans="1:8" ht="18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8.75" x14ac:dyDescent="0.25">
      <c r="A2" s="4">
        <v>101</v>
      </c>
      <c r="B2" s="5" t="s">
        <v>8</v>
      </c>
      <c r="C2" s="5" t="s">
        <v>9</v>
      </c>
      <c r="D2" s="5">
        <v>25000</v>
      </c>
      <c r="E2" s="6">
        <v>0.1</v>
      </c>
      <c r="F2" s="5"/>
      <c r="G2" s="7" t="s">
        <v>10</v>
      </c>
      <c r="H2" s="8">
        <v>9876543210</v>
      </c>
    </row>
    <row r="3" spans="1:8" ht="37.5" x14ac:dyDescent="0.25">
      <c r="A3" s="4">
        <v>102</v>
      </c>
      <c r="B3" s="5" t="s">
        <v>11</v>
      </c>
      <c r="C3" s="5" t="s">
        <v>12</v>
      </c>
      <c r="D3" s="5">
        <v>30000</v>
      </c>
      <c r="E3" s="6">
        <v>0.08</v>
      </c>
      <c r="F3" s="5"/>
      <c r="G3" s="7" t="s">
        <v>13</v>
      </c>
      <c r="H3" s="8">
        <v>9876543211</v>
      </c>
    </row>
    <row r="4" spans="1:8" ht="18.75" x14ac:dyDescent="0.25">
      <c r="A4" s="4">
        <v>103</v>
      </c>
      <c r="B4" s="5" t="s">
        <v>14</v>
      </c>
      <c r="C4" s="5" t="s">
        <v>15</v>
      </c>
      <c r="D4" s="5">
        <v>28000</v>
      </c>
      <c r="E4" s="6">
        <v>0.12</v>
      </c>
      <c r="F4" s="5"/>
      <c r="G4" s="7" t="s">
        <v>16</v>
      </c>
      <c r="H4" s="8">
        <v>9876543212</v>
      </c>
    </row>
    <row r="5" spans="1:8" ht="18.75" x14ac:dyDescent="0.25">
      <c r="A5" s="4">
        <v>104</v>
      </c>
      <c r="B5" s="5" t="s">
        <v>17</v>
      </c>
      <c r="C5" s="5" t="s">
        <v>18</v>
      </c>
      <c r="D5" s="5"/>
      <c r="E5" s="6">
        <v>0.1</v>
      </c>
      <c r="F5" s="5"/>
      <c r="G5" s="7" t="s">
        <v>19</v>
      </c>
      <c r="H5" s="8">
        <v>9876543213</v>
      </c>
    </row>
    <row r="6" spans="1:8" ht="18.75" x14ac:dyDescent="0.25">
      <c r="A6" s="4">
        <v>105</v>
      </c>
      <c r="B6" s="5" t="s">
        <v>8</v>
      </c>
      <c r="C6" s="5" t="s">
        <v>9</v>
      </c>
      <c r="D6" s="5">
        <v>25000</v>
      </c>
      <c r="E6" s="6">
        <v>0.1</v>
      </c>
      <c r="F6" s="5"/>
      <c r="G6" s="7" t="s">
        <v>10</v>
      </c>
      <c r="H6" s="8">
        <v>9876543210</v>
      </c>
    </row>
    <row r="7" spans="1:8" ht="18.75" x14ac:dyDescent="0.25">
      <c r="A7" s="4">
        <v>106</v>
      </c>
      <c r="B7" s="5" t="s">
        <v>20</v>
      </c>
      <c r="C7" s="5" t="s">
        <v>21</v>
      </c>
      <c r="D7" s="5">
        <v>27000</v>
      </c>
      <c r="E7" s="5"/>
      <c r="F7" s="5"/>
      <c r="G7" s="7" t="s">
        <v>22</v>
      </c>
      <c r="H7" s="8">
        <v>9876543215</v>
      </c>
    </row>
    <row r="8" spans="1:8" ht="18.75" x14ac:dyDescent="0.25">
      <c r="A8" s="9">
        <v>107</v>
      </c>
      <c r="B8" s="10" t="s">
        <v>23</v>
      </c>
      <c r="C8" s="10" t="s">
        <v>15</v>
      </c>
      <c r="D8" s="10">
        <v>32000</v>
      </c>
      <c r="E8" s="11">
        <v>0.15</v>
      </c>
      <c r="F8" s="10"/>
      <c r="G8" s="12" t="s">
        <v>24</v>
      </c>
      <c r="H8" s="13">
        <v>9876543216</v>
      </c>
    </row>
  </sheetData>
  <hyperlinks>
    <hyperlink ref="G2" r:id="rId1" display="mailto:ravikumar@gmail.com" xr:uid="{00000000-0004-0000-0000-000000000000}"/>
    <hyperlink ref="G3" r:id="rId2" display="mailto:priyasharma@gmail.com" xr:uid="{00000000-0004-0000-0000-000001000000}"/>
    <hyperlink ref="G4" r:id="rId3" display="mailto:arunkumar@gmail.com" xr:uid="{00000000-0004-0000-0000-000002000000}"/>
    <hyperlink ref="G5" r:id="rId4" display="mailto:meenadas@gmail.com" xr:uid="{00000000-0004-0000-0000-000003000000}"/>
    <hyperlink ref="G6" r:id="rId5" display="mailto:ravikumar@gmail.com" xr:uid="{00000000-0004-0000-0000-000004000000}"/>
    <hyperlink ref="G7" r:id="rId6" display="mailto:sitaroy@gmail.com" xr:uid="{00000000-0004-0000-0000-000005000000}"/>
    <hyperlink ref="G8" r:id="rId7" display="mailto:johnpeter@gmail.com" xr:uid="{00000000-0004-0000-0000-000006000000}"/>
  </hyperlinks>
  <pageMargins left="0.7" right="0.7" top="0.75" bottom="0.75" header="0.3" footer="0.3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E4" sqref="E4"/>
    </sheetView>
  </sheetViews>
  <sheetFormatPr defaultRowHeight="15" x14ac:dyDescent="0.25"/>
  <cols>
    <col min="1" max="1" width="87.28515625" customWidth="1"/>
    <col min="2" max="2" width="66.5703125" bestFit="1" customWidth="1"/>
  </cols>
  <sheetData>
    <row r="1" spans="1:2" ht="18.75" x14ac:dyDescent="0.25">
      <c r="A1" s="14" t="s">
        <v>25</v>
      </c>
      <c r="B1" s="15" t="s">
        <v>26</v>
      </c>
    </row>
    <row r="2" spans="1:2" ht="57" thickBot="1" x14ac:dyDescent="0.3">
      <c r="A2" s="16" t="s">
        <v>27</v>
      </c>
      <c r="B2" s="20" t="s">
        <v>28</v>
      </c>
    </row>
    <row r="3" spans="1:2" ht="19.5" thickBot="1" x14ac:dyDescent="0.3">
      <c r="A3" s="17"/>
      <c r="B3" s="21"/>
    </row>
    <row r="4" spans="1:2" ht="57" thickBot="1" x14ac:dyDescent="0.3">
      <c r="A4" s="17" t="s">
        <v>29</v>
      </c>
      <c r="B4" s="22" t="s">
        <v>30</v>
      </c>
    </row>
    <row r="5" spans="1:2" ht="19.5" thickBot="1" x14ac:dyDescent="0.3">
      <c r="A5" s="17"/>
      <c r="B5" s="21"/>
    </row>
    <row r="6" spans="1:2" ht="57" thickBot="1" x14ac:dyDescent="0.3">
      <c r="A6" s="17" t="s">
        <v>31</v>
      </c>
      <c r="B6" s="22" t="s">
        <v>32</v>
      </c>
    </row>
    <row r="7" spans="1:2" ht="19.5" thickBot="1" x14ac:dyDescent="0.3">
      <c r="A7" s="18"/>
      <c r="B7" s="23"/>
    </row>
    <row r="8" spans="1:2" ht="57" thickBot="1" x14ac:dyDescent="0.3">
      <c r="A8" s="17" t="s">
        <v>33</v>
      </c>
      <c r="B8" s="22" t="s">
        <v>34</v>
      </c>
    </row>
    <row r="9" spans="1:2" ht="19.5" thickBot="1" x14ac:dyDescent="0.3">
      <c r="A9" s="17"/>
      <c r="B9" s="21"/>
    </row>
    <row r="10" spans="1:2" ht="56.25" x14ac:dyDescent="0.25">
      <c r="A10" s="19" t="s">
        <v>35</v>
      </c>
      <c r="B10" s="24" t="s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tabSelected="1" workbookViewId="0"/>
  </sheetViews>
  <sheetFormatPr defaultRowHeight="15" x14ac:dyDescent="0.25"/>
  <cols>
    <col min="1" max="1" width="23.28515625" customWidth="1"/>
    <col min="2" max="3" width="19.85546875" customWidth="1"/>
    <col min="4" max="4" width="21.7109375" customWidth="1"/>
    <col min="5" max="5" width="20" customWidth="1"/>
    <col min="6" max="6" width="22.28515625" customWidth="1"/>
    <col min="7" max="7" width="21.5703125" customWidth="1"/>
    <col min="8" max="8" width="29.140625" customWidth="1"/>
    <col min="9" max="9" width="24.28515625" customWidth="1"/>
  </cols>
  <sheetData>
    <row r="1" spans="1:9" ht="18.75" x14ac:dyDescent="0.25">
      <c r="A1" s="1" t="s">
        <v>0</v>
      </c>
      <c r="B1" s="2" t="s">
        <v>1</v>
      </c>
      <c r="C1" s="27" t="s">
        <v>37</v>
      </c>
      <c r="D1" s="2" t="s">
        <v>2</v>
      </c>
      <c r="E1" s="2" t="s">
        <v>3</v>
      </c>
      <c r="F1" s="2" t="s">
        <v>4</v>
      </c>
      <c r="G1" s="27" t="s">
        <v>5</v>
      </c>
      <c r="H1" s="2" t="s">
        <v>6</v>
      </c>
      <c r="I1" s="3" t="s">
        <v>7</v>
      </c>
    </row>
    <row r="2" spans="1:9" ht="18.75" x14ac:dyDescent="0.25">
      <c r="A2" s="4">
        <v>101</v>
      </c>
      <c r="B2" s="5" t="s">
        <v>8</v>
      </c>
      <c r="C2" s="5" t="s">
        <v>38</v>
      </c>
      <c r="D2" s="5" t="s">
        <v>9</v>
      </c>
      <c r="E2" s="5">
        <v>25000</v>
      </c>
      <c r="F2" s="6">
        <v>0.1</v>
      </c>
      <c r="G2" s="5">
        <f>INT(SUM(Table14[[#This Row],[Salary]],(Table14[[#This Row],[Salary]]*Table14[[#This Row],[Bonus %]])))</f>
        <v>27500</v>
      </c>
      <c r="H2" s="7" t="s">
        <v>10</v>
      </c>
      <c r="I2" s="8">
        <v>9876543210</v>
      </c>
    </row>
    <row r="3" spans="1:9" ht="23.25" customHeight="1" x14ac:dyDescent="0.25">
      <c r="A3" s="4">
        <v>102</v>
      </c>
      <c r="B3" s="5" t="s">
        <v>11</v>
      </c>
      <c r="C3" s="5" t="s">
        <v>39</v>
      </c>
      <c r="D3" s="5" t="s">
        <v>12</v>
      </c>
      <c r="E3" s="5">
        <v>30000</v>
      </c>
      <c r="F3" s="6">
        <v>0.08</v>
      </c>
      <c r="G3" s="5">
        <f>INT(SUM(Table14[[#This Row],[Salary]],(Table14[[#This Row],[Salary]]*Table14[[#This Row],[Bonus %]])))</f>
        <v>32400</v>
      </c>
      <c r="H3" s="7" t="s">
        <v>13</v>
      </c>
      <c r="I3" s="8">
        <v>9876543211</v>
      </c>
    </row>
    <row r="4" spans="1:9" ht="18.75" x14ac:dyDescent="0.25">
      <c r="A4" s="4">
        <v>103</v>
      </c>
      <c r="B4" s="5" t="s">
        <v>14</v>
      </c>
      <c r="C4" s="5" t="s">
        <v>40</v>
      </c>
      <c r="D4" s="5" t="s">
        <v>15</v>
      </c>
      <c r="E4" s="5">
        <v>28000</v>
      </c>
      <c r="F4" s="6">
        <v>0.12</v>
      </c>
      <c r="G4" s="5">
        <f>INT(SUM(Table14[[#This Row],[Salary]],(Table14[[#This Row],[Salary]]*Table14[[#This Row],[Bonus %]])))</f>
        <v>31360</v>
      </c>
      <c r="H4" s="7" t="s">
        <v>16</v>
      </c>
      <c r="I4" s="8">
        <v>9876543212</v>
      </c>
    </row>
    <row r="5" spans="1:9" ht="18.75" x14ac:dyDescent="0.25">
      <c r="A5" s="4">
        <v>104</v>
      </c>
      <c r="B5" s="5" t="s">
        <v>17</v>
      </c>
      <c r="C5" s="5" t="s">
        <v>41</v>
      </c>
      <c r="D5" s="5" t="s">
        <v>18</v>
      </c>
      <c r="E5" s="28">
        <f>INT(AVERAGE(E2,E3,E4,E6,E7,E8))</f>
        <v>28400</v>
      </c>
      <c r="F5" s="6">
        <v>0.1</v>
      </c>
      <c r="G5" s="5">
        <f>INT(SUM(Table14[[#This Row],[Salary]],(Table14[[#This Row],[Salary]]*Table14[[#This Row],[Bonus %]])))</f>
        <v>31240</v>
      </c>
      <c r="H5" s="7" t="s">
        <v>19</v>
      </c>
      <c r="I5" s="8">
        <v>9876543213</v>
      </c>
    </row>
    <row r="6" spans="1:9" ht="18.75" x14ac:dyDescent="0.25">
      <c r="A6" s="4">
        <v>106</v>
      </c>
      <c r="B6" s="5" t="s">
        <v>20</v>
      </c>
      <c r="C6" s="5" t="s">
        <v>42</v>
      </c>
      <c r="D6" s="5" t="s">
        <v>21</v>
      </c>
      <c r="E6" s="5">
        <v>27000</v>
      </c>
      <c r="F6" s="29">
        <f>AVERAGE(F1,F2,F3,F4,F7)</f>
        <v>0.11249999999999999</v>
      </c>
      <c r="G6" s="5">
        <f>INT(SUM(Table14[[#This Row],[Salary]],(Table14[[#This Row],[Salary]]*Table14[[#This Row],[Bonus %]])))</f>
        <v>30037</v>
      </c>
      <c r="H6" s="7" t="s">
        <v>22</v>
      </c>
      <c r="I6" s="8">
        <v>9876543215</v>
      </c>
    </row>
    <row r="7" spans="1:9" ht="18.75" x14ac:dyDescent="0.25">
      <c r="A7" s="4">
        <v>107</v>
      </c>
      <c r="B7" s="5" t="s">
        <v>23</v>
      </c>
      <c r="C7" s="5" t="s">
        <v>43</v>
      </c>
      <c r="D7" s="5" t="s">
        <v>15</v>
      </c>
      <c r="E7" s="5">
        <v>32000</v>
      </c>
      <c r="F7" s="6">
        <v>0.15</v>
      </c>
      <c r="G7" s="5">
        <f>INT(SUM(Table14[[#This Row],[Salary]],(Table14[[#This Row],[Salary]]*Table14[[#This Row],[Bonus %]])))</f>
        <v>36800</v>
      </c>
      <c r="H7" s="7" t="s">
        <v>24</v>
      </c>
      <c r="I7" s="8">
        <v>9876543216</v>
      </c>
    </row>
    <row r="9" spans="1:9" x14ac:dyDescent="0.25">
      <c r="C9" s="25" t="s">
        <v>44</v>
      </c>
      <c r="D9" s="26">
        <f>COUNTIF(Table14[Department],"IT")</f>
        <v>2</v>
      </c>
    </row>
    <row r="12" spans="1:9" ht="25.5" customHeight="1" x14ac:dyDescent="0.25">
      <c r="B12" s="32"/>
      <c r="C12" s="31" t="s">
        <v>45</v>
      </c>
      <c r="D12" s="30"/>
    </row>
  </sheetData>
  <hyperlinks>
    <hyperlink ref="H2" r:id="rId1" display="mailto:ravikumar@gmail.com" xr:uid="{00000000-0004-0000-0200-000000000000}"/>
    <hyperlink ref="H3" r:id="rId2" display="mailto:priyasharma@gmail.com" xr:uid="{00000000-0004-0000-0200-000001000000}"/>
    <hyperlink ref="H4" r:id="rId3" display="mailto:arunkumar@gmail.com" xr:uid="{00000000-0004-0000-0200-000002000000}"/>
    <hyperlink ref="H5" r:id="rId4" display="mailto:meenadas@gmail.com" xr:uid="{00000000-0004-0000-0200-000003000000}"/>
    <hyperlink ref="H6" r:id="rId5" display="mailto:sitaroy@gmail.com" xr:uid="{00000000-0004-0000-0200-000004000000}"/>
    <hyperlink ref="H7" r:id="rId6" display="mailto:johnpeter@gmail.com" xr:uid="{00000000-0004-0000-0200-000005000000}"/>
  </hyperlinks>
  <pageMargins left="0.7" right="0.7" top="0.75" bottom="0.75" header="0.3" footer="0.3"/>
  <pageSetup orientation="portrait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Tasks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Kumaran M</dc:creator>
  <cp:lastModifiedBy>SAI_SACHIN</cp:lastModifiedBy>
  <dcterms:created xsi:type="dcterms:W3CDTF">2026-04-09T07:55:17Z</dcterms:created>
  <dcterms:modified xsi:type="dcterms:W3CDTF">2026-04-12T17:57:29Z</dcterms:modified>
</cp:coreProperties>
</file>