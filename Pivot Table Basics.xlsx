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Excel Practice\"/>
    </mc:Choice>
  </mc:AlternateContent>
  <bookViews>
    <workbookView xWindow="0" yWindow="0" windowWidth="20490" windowHeight="7620"/>
  </bookViews>
  <sheets>
    <sheet name="Sheet 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9" i="1" l="1"/>
  <c r="H59" i="1"/>
  <c r="J58" i="1"/>
  <c r="H58" i="1"/>
  <c r="J57" i="1"/>
  <c r="H57" i="1"/>
  <c r="H56" i="1"/>
  <c r="J55" i="1"/>
  <c r="H55" i="1"/>
  <c r="J54" i="1"/>
  <c r="H54" i="1"/>
  <c r="J53" i="1"/>
  <c r="H53" i="1"/>
  <c r="J52" i="1"/>
  <c r="H52" i="1"/>
  <c r="J51" i="1"/>
  <c r="H51" i="1"/>
  <c r="J50" i="1"/>
  <c r="H50" i="1"/>
  <c r="J49" i="1"/>
  <c r="H49" i="1"/>
  <c r="H48" i="1"/>
  <c r="J47" i="1"/>
  <c r="H47" i="1"/>
  <c r="J46" i="1"/>
  <c r="H46" i="1"/>
  <c r="J45" i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J26" i="1"/>
  <c r="H26" i="1"/>
  <c r="J25" i="1"/>
  <c r="H25" i="1"/>
  <c r="J24" i="1"/>
  <c r="H24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H15" i="1"/>
  <c r="J14" i="1"/>
  <c r="H14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H6" i="1"/>
  <c r="J5" i="1"/>
  <c r="H5" i="1"/>
  <c r="J4" i="1"/>
  <c r="H4" i="1"/>
  <c r="J3" i="1"/>
  <c r="H3" i="1"/>
  <c r="J2" i="1"/>
  <c r="H2" i="1"/>
</calcChain>
</file>

<file path=xl/sharedStrings.xml><?xml version="1.0" encoding="utf-8"?>
<sst xmlns="http://schemas.openxmlformats.org/spreadsheetml/2006/main" count="306" uniqueCount="134">
  <si>
    <t>Student_ID</t>
  </si>
  <si>
    <t>Name</t>
  </si>
  <si>
    <t>Age</t>
  </si>
  <si>
    <t>Gender</t>
  </si>
  <si>
    <t>Department</t>
  </si>
  <si>
    <t>Attendance (%)</t>
  </si>
  <si>
    <t>Average_Marks</t>
  </si>
  <si>
    <t>Practical</t>
  </si>
  <si>
    <t>Last_Exam_Date</t>
  </si>
  <si>
    <t>Remarks</t>
  </si>
  <si>
    <t>S001</t>
  </si>
  <si>
    <t>Alice Johnson</t>
  </si>
  <si>
    <t>Male</t>
  </si>
  <si>
    <t>ECE</t>
  </si>
  <si>
    <t>2024-03-15</t>
  </si>
  <si>
    <t>S002</t>
  </si>
  <si>
    <t>Bob Smith</t>
  </si>
  <si>
    <t>Female</t>
  </si>
  <si>
    <t>Mechanical</t>
  </si>
  <si>
    <t>2024-03-28</t>
  </si>
  <si>
    <t>S003</t>
  </si>
  <si>
    <t>Carol Evans</t>
  </si>
  <si>
    <t>S004</t>
  </si>
  <si>
    <t>David Lee</t>
  </si>
  <si>
    <t>S005</t>
  </si>
  <si>
    <t>Eva Mendes</t>
  </si>
  <si>
    <t>2024-03-25</t>
  </si>
  <si>
    <t>Poor</t>
  </si>
  <si>
    <t>S006</t>
  </si>
  <si>
    <t>Frank Wright</t>
  </si>
  <si>
    <t>IT</t>
  </si>
  <si>
    <t>2024-03-26</t>
  </si>
  <si>
    <t>S007</t>
  </si>
  <si>
    <t>Grace Kim</t>
  </si>
  <si>
    <t>Computer Sci</t>
  </si>
  <si>
    <t>S008</t>
  </si>
  <si>
    <t>Henry Ford</t>
  </si>
  <si>
    <t>2024-03-12</t>
  </si>
  <si>
    <t>S009</t>
  </si>
  <si>
    <t>Isla Moore</t>
  </si>
  <si>
    <t>S010</t>
  </si>
  <si>
    <t>Jack Black</t>
  </si>
  <si>
    <t>2024-03-22</t>
  </si>
  <si>
    <t>S011</t>
  </si>
  <si>
    <t>Karen Young</t>
  </si>
  <si>
    <t>S012</t>
  </si>
  <si>
    <t>Leo Brown</t>
  </si>
  <si>
    <t>Excellent</t>
  </si>
  <si>
    <t>S013</t>
  </si>
  <si>
    <t>Mia Davis</t>
  </si>
  <si>
    <t>S014</t>
  </si>
  <si>
    <t>Nina Patel</t>
  </si>
  <si>
    <t>S015</t>
  </si>
  <si>
    <t>Oscar White</t>
  </si>
  <si>
    <t>S016</t>
  </si>
  <si>
    <t>Pamela Green</t>
  </si>
  <si>
    <t>S017</t>
  </si>
  <si>
    <t>Quinn Hall</t>
  </si>
  <si>
    <t>S018</t>
  </si>
  <si>
    <t>Rita Clark</t>
  </si>
  <si>
    <t>S019</t>
  </si>
  <si>
    <t>Steve Lewis</t>
  </si>
  <si>
    <t>2024-03-20</t>
  </si>
  <si>
    <t>S020</t>
  </si>
  <si>
    <t>Tina Turner</t>
  </si>
  <si>
    <t>2024-03-18</t>
  </si>
  <si>
    <t>S021</t>
  </si>
  <si>
    <t>Uma Singh</t>
  </si>
  <si>
    <t>2024-03-19</t>
  </si>
  <si>
    <t>S022</t>
  </si>
  <si>
    <t>Vikram Shah</t>
  </si>
  <si>
    <t>Needs Improvement</t>
  </si>
  <si>
    <t>S023</t>
  </si>
  <si>
    <t>Wendy Scott</t>
  </si>
  <si>
    <t>S024</t>
  </si>
  <si>
    <t>Xavier Hill</t>
  </si>
  <si>
    <t>S025</t>
  </si>
  <si>
    <t>Yara Ali</t>
  </si>
  <si>
    <t>S026</t>
  </si>
  <si>
    <t>Zane Carter</t>
  </si>
  <si>
    <t>S027</t>
  </si>
  <si>
    <t>Amy Roberts</t>
  </si>
  <si>
    <t>S028</t>
  </si>
  <si>
    <t>Brian King</t>
  </si>
  <si>
    <t>S029</t>
  </si>
  <si>
    <t>Clara Morris</t>
  </si>
  <si>
    <t>S030</t>
  </si>
  <si>
    <t>Derek Price</t>
  </si>
  <si>
    <t>S031</t>
  </si>
  <si>
    <t>Ella Brooks</t>
  </si>
  <si>
    <t>S032</t>
  </si>
  <si>
    <t>Fiona Fox</t>
  </si>
  <si>
    <t>S033</t>
  </si>
  <si>
    <t>George Hill</t>
  </si>
  <si>
    <t>S034</t>
  </si>
  <si>
    <t>Hannah Lee</t>
  </si>
  <si>
    <t>S035</t>
  </si>
  <si>
    <t>Ian Wright</t>
  </si>
  <si>
    <t>S036</t>
  </si>
  <si>
    <t>Jenna Cole</t>
  </si>
  <si>
    <t>S037</t>
  </si>
  <si>
    <t>Kyle Adams</t>
  </si>
  <si>
    <t>S038</t>
  </si>
  <si>
    <t>Lara Jones</t>
  </si>
  <si>
    <t>S039</t>
  </si>
  <si>
    <t>Matt Green</t>
  </si>
  <si>
    <t>S040</t>
  </si>
  <si>
    <t>Nora Bell</t>
  </si>
  <si>
    <t>S041</t>
  </si>
  <si>
    <t>Omar Ahmed</t>
  </si>
  <si>
    <t>S042</t>
  </si>
  <si>
    <t>Paula Rose</t>
  </si>
  <si>
    <t>S043</t>
  </si>
  <si>
    <t>Quincy Brown</t>
  </si>
  <si>
    <t>S044</t>
  </si>
  <si>
    <t>Rachel Cox</t>
  </si>
  <si>
    <t>S045</t>
  </si>
  <si>
    <t>Sam Fisher</t>
  </si>
  <si>
    <t>S046</t>
  </si>
  <si>
    <t>Tara Evans</t>
  </si>
  <si>
    <t>S047</t>
  </si>
  <si>
    <t>Umar Khan</t>
  </si>
  <si>
    <t>S048</t>
  </si>
  <si>
    <t>Vera Long</t>
  </si>
  <si>
    <t>S049</t>
  </si>
  <si>
    <t>Will Baker</t>
  </si>
  <si>
    <t>S050</t>
  </si>
  <si>
    <t>Zara Malik</t>
  </si>
  <si>
    <t>S051</t>
  </si>
  <si>
    <t>S052</t>
  </si>
  <si>
    <t>Good</t>
  </si>
  <si>
    <t>S053</t>
  </si>
  <si>
    <t>S054</t>
  </si>
  <si>
    <t>S055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</si>
</sst>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 Semibold"/>
      <family val="2"/>
    </font>
    <font>
      <sz val="11"/>
      <color theme="1"/>
      <name val="Segoe UI Semibol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0" fontId="2" fillId="0" borderId="4" xfId="0" applyFont="1" applyFill="1" applyBorder="1"/>
    <xf numFmtId="0" fontId="2" fillId="0" borderId="5" xfId="0" applyFont="1" applyFill="1" applyBorder="1"/>
    <xf numFmtId="49" fontId="2" fillId="0" borderId="6" xfId="0" applyNumberFormat="1" applyFont="1" applyFill="1" applyBorder="1"/>
    <xf numFmtId="0" fontId="2" fillId="0" borderId="7" xfId="0" applyFont="1" applyFill="1" applyBorder="1"/>
    <xf numFmtId="0" fontId="2" fillId="0" borderId="8" xfId="0" applyFont="1" applyFill="1" applyBorder="1"/>
    <xf numFmtId="49" fontId="2" fillId="0" borderId="9" xfId="0" applyNumberFormat="1" applyFont="1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Marks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'Sheet 1'!$H$1</c:f>
              <c:strCache>
                <c:ptCount val="1"/>
                <c:pt idx="0">
                  <c:v>Practical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'Sheet 1'!$G$2:$G$59</c:f>
              <c:numCache>
                <c:formatCode>General</c:formatCode>
                <c:ptCount val="58"/>
                <c:pt idx="0">
                  <c:v>68</c:v>
                </c:pt>
                <c:pt idx="1">
                  <c:v>85</c:v>
                </c:pt>
                <c:pt idx="2">
                  <c:v>81</c:v>
                </c:pt>
                <c:pt idx="3">
                  <c:v>62</c:v>
                </c:pt>
                <c:pt idx="4">
                  <c:v>55</c:v>
                </c:pt>
                <c:pt idx="5">
                  <c:v>58</c:v>
                </c:pt>
                <c:pt idx="6">
                  <c:v>62</c:v>
                </c:pt>
                <c:pt idx="7">
                  <c:v>58</c:v>
                </c:pt>
                <c:pt idx="8">
                  <c:v>59</c:v>
                </c:pt>
                <c:pt idx="9">
                  <c:v>64</c:v>
                </c:pt>
                <c:pt idx="10">
                  <c:v>59</c:v>
                </c:pt>
                <c:pt idx="11">
                  <c:v>97</c:v>
                </c:pt>
                <c:pt idx="12">
                  <c:v>54</c:v>
                </c:pt>
                <c:pt idx="13">
                  <c:v>77</c:v>
                </c:pt>
                <c:pt idx="14">
                  <c:v>71</c:v>
                </c:pt>
                <c:pt idx="15">
                  <c:v>55</c:v>
                </c:pt>
                <c:pt idx="16">
                  <c:v>55</c:v>
                </c:pt>
                <c:pt idx="17">
                  <c:v>70</c:v>
                </c:pt>
                <c:pt idx="18">
                  <c:v>100</c:v>
                </c:pt>
                <c:pt idx="19">
                  <c:v>95</c:v>
                </c:pt>
                <c:pt idx="20">
                  <c:v>92</c:v>
                </c:pt>
                <c:pt idx="21">
                  <c:v>63</c:v>
                </c:pt>
                <c:pt idx="22">
                  <c:v>81</c:v>
                </c:pt>
                <c:pt idx="23">
                  <c:v>58</c:v>
                </c:pt>
                <c:pt idx="24">
                  <c:v>85</c:v>
                </c:pt>
                <c:pt idx="25">
                  <c:v>98</c:v>
                </c:pt>
                <c:pt idx="26">
                  <c:v>79</c:v>
                </c:pt>
                <c:pt idx="27">
                  <c:v>80</c:v>
                </c:pt>
                <c:pt idx="28">
                  <c:v>64</c:v>
                </c:pt>
                <c:pt idx="29">
                  <c:v>90</c:v>
                </c:pt>
                <c:pt idx="30">
                  <c:v>59</c:v>
                </c:pt>
                <c:pt idx="31">
                  <c:v>67</c:v>
                </c:pt>
                <c:pt idx="32">
                  <c:v>72</c:v>
                </c:pt>
                <c:pt idx="33">
                  <c:v>76</c:v>
                </c:pt>
                <c:pt idx="34">
                  <c:v>62</c:v>
                </c:pt>
                <c:pt idx="35">
                  <c:v>56</c:v>
                </c:pt>
                <c:pt idx="36">
                  <c:v>82</c:v>
                </c:pt>
                <c:pt idx="37">
                  <c:v>65</c:v>
                </c:pt>
                <c:pt idx="38">
                  <c:v>80</c:v>
                </c:pt>
                <c:pt idx="39">
                  <c:v>58</c:v>
                </c:pt>
                <c:pt idx="40">
                  <c:v>75</c:v>
                </c:pt>
                <c:pt idx="41">
                  <c:v>68</c:v>
                </c:pt>
                <c:pt idx="42">
                  <c:v>78</c:v>
                </c:pt>
                <c:pt idx="43">
                  <c:v>52</c:v>
                </c:pt>
                <c:pt idx="44">
                  <c:v>67</c:v>
                </c:pt>
                <c:pt idx="45">
                  <c:v>57</c:v>
                </c:pt>
                <c:pt idx="46">
                  <c:v>53</c:v>
                </c:pt>
                <c:pt idx="47">
                  <c:v>55</c:v>
                </c:pt>
                <c:pt idx="48">
                  <c:v>66</c:v>
                </c:pt>
                <c:pt idx="49">
                  <c:v>92</c:v>
                </c:pt>
                <c:pt idx="50">
                  <c:v>63</c:v>
                </c:pt>
                <c:pt idx="51">
                  <c:v>85</c:v>
                </c:pt>
                <c:pt idx="52">
                  <c:v>89</c:v>
                </c:pt>
                <c:pt idx="53">
                  <c:v>55</c:v>
                </c:pt>
                <c:pt idx="54">
                  <c:v>81</c:v>
                </c:pt>
                <c:pt idx="55">
                  <c:v>74</c:v>
                </c:pt>
                <c:pt idx="56">
                  <c:v>71</c:v>
                </c:pt>
                <c:pt idx="57">
                  <c:v>68</c:v>
                </c:pt>
              </c:numCache>
            </c:numRef>
          </c:xVal>
          <c:yVal>
            <c:numRef>
              <c:f>'Sheet 1'!$H$2:$H$59</c:f>
              <c:numCache>
                <c:formatCode>General</c:formatCode>
                <c:ptCount val="58"/>
                <c:pt idx="0">
                  <c:v>17</c:v>
                </c:pt>
                <c:pt idx="1">
                  <c:v>21.25</c:v>
                </c:pt>
                <c:pt idx="2">
                  <c:v>20.25</c:v>
                </c:pt>
                <c:pt idx="3">
                  <c:v>15.5</c:v>
                </c:pt>
                <c:pt idx="4">
                  <c:v>13.75</c:v>
                </c:pt>
                <c:pt idx="5">
                  <c:v>14.5</c:v>
                </c:pt>
                <c:pt idx="6">
                  <c:v>15.5</c:v>
                </c:pt>
                <c:pt idx="7">
                  <c:v>14.5</c:v>
                </c:pt>
                <c:pt idx="8">
                  <c:v>14.75</c:v>
                </c:pt>
                <c:pt idx="9">
                  <c:v>16</c:v>
                </c:pt>
                <c:pt idx="10">
                  <c:v>14.75</c:v>
                </c:pt>
                <c:pt idx="11">
                  <c:v>24.25</c:v>
                </c:pt>
                <c:pt idx="12">
                  <c:v>13.5</c:v>
                </c:pt>
                <c:pt idx="13">
                  <c:v>19.25</c:v>
                </c:pt>
                <c:pt idx="14">
                  <c:v>17.75</c:v>
                </c:pt>
                <c:pt idx="15">
                  <c:v>13.75</c:v>
                </c:pt>
                <c:pt idx="16">
                  <c:v>13.75</c:v>
                </c:pt>
                <c:pt idx="17">
                  <c:v>17.5</c:v>
                </c:pt>
                <c:pt idx="18">
                  <c:v>25</c:v>
                </c:pt>
                <c:pt idx="19">
                  <c:v>23.75</c:v>
                </c:pt>
                <c:pt idx="20">
                  <c:v>23</c:v>
                </c:pt>
                <c:pt idx="21">
                  <c:v>15.75</c:v>
                </c:pt>
                <c:pt idx="22">
                  <c:v>20.25</c:v>
                </c:pt>
                <c:pt idx="23">
                  <c:v>14.5</c:v>
                </c:pt>
                <c:pt idx="24">
                  <c:v>21.25</c:v>
                </c:pt>
                <c:pt idx="25">
                  <c:v>24.5</c:v>
                </c:pt>
                <c:pt idx="26">
                  <c:v>19.75</c:v>
                </c:pt>
                <c:pt idx="27">
                  <c:v>20</c:v>
                </c:pt>
                <c:pt idx="28">
                  <c:v>16</c:v>
                </c:pt>
                <c:pt idx="29">
                  <c:v>22.5</c:v>
                </c:pt>
                <c:pt idx="30">
                  <c:v>14.75</c:v>
                </c:pt>
                <c:pt idx="31">
                  <c:v>16.75</c:v>
                </c:pt>
                <c:pt idx="32">
                  <c:v>18</c:v>
                </c:pt>
                <c:pt idx="33">
                  <c:v>19</c:v>
                </c:pt>
                <c:pt idx="34">
                  <c:v>15.5</c:v>
                </c:pt>
                <c:pt idx="35">
                  <c:v>14</c:v>
                </c:pt>
                <c:pt idx="36">
                  <c:v>20.5</c:v>
                </c:pt>
                <c:pt idx="37">
                  <c:v>16.25</c:v>
                </c:pt>
                <c:pt idx="38">
                  <c:v>20</c:v>
                </c:pt>
                <c:pt idx="39">
                  <c:v>14.5</c:v>
                </c:pt>
                <c:pt idx="40">
                  <c:v>18.75</c:v>
                </c:pt>
                <c:pt idx="41">
                  <c:v>17</c:v>
                </c:pt>
                <c:pt idx="42">
                  <c:v>19.5</c:v>
                </c:pt>
                <c:pt idx="43">
                  <c:v>13</c:v>
                </c:pt>
                <c:pt idx="44">
                  <c:v>16.75</c:v>
                </c:pt>
                <c:pt idx="45">
                  <c:v>14.25</c:v>
                </c:pt>
                <c:pt idx="46">
                  <c:v>13.25</c:v>
                </c:pt>
                <c:pt idx="47">
                  <c:v>13.75</c:v>
                </c:pt>
                <c:pt idx="48">
                  <c:v>16.5</c:v>
                </c:pt>
                <c:pt idx="49">
                  <c:v>23</c:v>
                </c:pt>
                <c:pt idx="50">
                  <c:v>15.75</c:v>
                </c:pt>
                <c:pt idx="51">
                  <c:v>21.25</c:v>
                </c:pt>
                <c:pt idx="52">
                  <c:v>22.25</c:v>
                </c:pt>
                <c:pt idx="53">
                  <c:v>13.75</c:v>
                </c:pt>
                <c:pt idx="54">
                  <c:v>20.25</c:v>
                </c:pt>
                <c:pt idx="55">
                  <c:v>18.5</c:v>
                </c:pt>
                <c:pt idx="56">
                  <c:v>17.75</c:v>
                </c:pt>
                <c:pt idx="57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F2-47D3-84D6-408AB9C48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962448"/>
        <c:axId val="1931962864"/>
      </c:scatterChart>
      <c:valAx>
        <c:axId val="193196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Mark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62864"/>
        <c:crosses val="autoZero"/>
        <c:crossBetween val="midCat"/>
      </c:valAx>
      <c:valAx>
        <c:axId val="19319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Practical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6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19</xdr:col>
      <xdr:colOff>304800</xdr:colOff>
      <xdr:row>16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ve%20clea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cleaned"/>
      <sheetName val="Sheet2"/>
      <sheetName val="Sheet 1"/>
      <sheetName val="Sheet4"/>
      <sheetName val="Sheet5"/>
    </sheetNames>
    <sheetDataSet>
      <sheetData sheetId="0"/>
      <sheetData sheetId="1"/>
      <sheetData sheetId="2"/>
      <sheetData sheetId="3">
        <row r="1">
          <cell r="H1" t="str">
            <v>Practical</v>
          </cell>
        </row>
        <row r="2">
          <cell r="G2">
            <v>68</v>
          </cell>
          <cell r="H2">
            <v>17</v>
          </cell>
        </row>
        <row r="3">
          <cell r="G3">
            <v>85</v>
          </cell>
          <cell r="H3">
            <v>21.25</v>
          </cell>
        </row>
        <row r="4">
          <cell r="G4">
            <v>81</v>
          </cell>
          <cell r="H4">
            <v>20.25</v>
          </cell>
        </row>
        <row r="5">
          <cell r="G5">
            <v>62</v>
          </cell>
          <cell r="H5">
            <v>15.5</v>
          </cell>
        </row>
        <row r="6">
          <cell r="G6">
            <v>55</v>
          </cell>
          <cell r="H6">
            <v>13.75</v>
          </cell>
        </row>
        <row r="7">
          <cell r="G7">
            <v>58</v>
          </cell>
          <cell r="H7">
            <v>14.5</v>
          </cell>
        </row>
        <row r="8">
          <cell r="G8">
            <v>62</v>
          </cell>
          <cell r="H8">
            <v>15.5</v>
          </cell>
        </row>
        <row r="9">
          <cell r="G9">
            <v>58</v>
          </cell>
          <cell r="H9">
            <v>14.5</v>
          </cell>
        </row>
        <row r="10">
          <cell r="G10">
            <v>59</v>
          </cell>
          <cell r="H10">
            <v>14.75</v>
          </cell>
        </row>
        <row r="11">
          <cell r="G11">
            <v>64</v>
          </cell>
          <cell r="H11">
            <v>16</v>
          </cell>
        </row>
        <row r="12">
          <cell r="G12">
            <v>59</v>
          </cell>
          <cell r="H12">
            <v>14.75</v>
          </cell>
        </row>
        <row r="13">
          <cell r="G13">
            <v>97</v>
          </cell>
          <cell r="H13">
            <v>24.25</v>
          </cell>
        </row>
        <row r="14">
          <cell r="G14">
            <v>54</v>
          </cell>
          <cell r="H14">
            <v>13.5</v>
          </cell>
        </row>
        <row r="15">
          <cell r="G15">
            <v>77</v>
          </cell>
          <cell r="H15">
            <v>19.25</v>
          </cell>
        </row>
        <row r="16">
          <cell r="G16">
            <v>71</v>
          </cell>
          <cell r="H16">
            <v>17.75</v>
          </cell>
        </row>
        <row r="17">
          <cell r="G17">
            <v>55</v>
          </cell>
          <cell r="H17">
            <v>13.75</v>
          </cell>
        </row>
        <row r="18">
          <cell r="G18">
            <v>55</v>
          </cell>
          <cell r="H18">
            <v>13.75</v>
          </cell>
        </row>
        <row r="19">
          <cell r="G19">
            <v>70</v>
          </cell>
          <cell r="H19">
            <v>17.5</v>
          </cell>
        </row>
        <row r="20">
          <cell r="G20">
            <v>100</v>
          </cell>
          <cell r="H20">
            <v>25</v>
          </cell>
        </row>
        <row r="21">
          <cell r="G21">
            <v>95</v>
          </cell>
          <cell r="H21">
            <v>23.75</v>
          </cell>
        </row>
        <row r="22">
          <cell r="G22">
            <v>92</v>
          </cell>
          <cell r="H22">
            <v>23</v>
          </cell>
        </row>
        <row r="23">
          <cell r="G23">
            <v>63</v>
          </cell>
          <cell r="H23">
            <v>15.75</v>
          </cell>
        </row>
        <row r="24">
          <cell r="G24">
            <v>81</v>
          </cell>
          <cell r="H24">
            <v>20.25</v>
          </cell>
        </row>
        <row r="25">
          <cell r="G25">
            <v>58</v>
          </cell>
          <cell r="H25">
            <v>14.5</v>
          </cell>
        </row>
        <row r="26">
          <cell r="G26">
            <v>85</v>
          </cell>
          <cell r="H26">
            <v>21.25</v>
          </cell>
        </row>
        <row r="27">
          <cell r="G27">
            <v>98</v>
          </cell>
          <cell r="H27">
            <v>24.5</v>
          </cell>
        </row>
        <row r="28">
          <cell r="G28">
            <v>79</v>
          </cell>
          <cell r="H28">
            <v>19.75</v>
          </cell>
        </row>
        <row r="29">
          <cell r="G29">
            <v>80</v>
          </cell>
          <cell r="H29">
            <v>20</v>
          </cell>
        </row>
        <row r="30">
          <cell r="G30">
            <v>64</v>
          </cell>
          <cell r="H30">
            <v>16</v>
          </cell>
        </row>
        <row r="31">
          <cell r="G31">
            <v>90</v>
          </cell>
          <cell r="H31">
            <v>22.5</v>
          </cell>
        </row>
        <row r="32">
          <cell r="G32">
            <v>59</v>
          </cell>
          <cell r="H32">
            <v>14.75</v>
          </cell>
        </row>
        <row r="33">
          <cell r="G33">
            <v>67</v>
          </cell>
          <cell r="H33">
            <v>16.75</v>
          </cell>
        </row>
        <row r="34">
          <cell r="G34">
            <v>72</v>
          </cell>
          <cell r="H34">
            <v>18</v>
          </cell>
        </row>
        <row r="35">
          <cell r="G35">
            <v>76</v>
          </cell>
          <cell r="H35">
            <v>19</v>
          </cell>
        </row>
        <row r="36">
          <cell r="G36">
            <v>62</v>
          </cell>
          <cell r="H36">
            <v>15.5</v>
          </cell>
        </row>
        <row r="37">
          <cell r="G37">
            <v>56</v>
          </cell>
          <cell r="H37">
            <v>14</v>
          </cell>
        </row>
        <row r="38">
          <cell r="G38">
            <v>82</v>
          </cell>
          <cell r="H38">
            <v>20.5</v>
          </cell>
        </row>
        <row r="39">
          <cell r="G39">
            <v>65</v>
          </cell>
          <cell r="H39">
            <v>16.25</v>
          </cell>
        </row>
        <row r="40">
          <cell r="G40">
            <v>80</v>
          </cell>
          <cell r="H40">
            <v>20</v>
          </cell>
        </row>
        <row r="41">
          <cell r="G41">
            <v>58</v>
          </cell>
          <cell r="H41">
            <v>14.5</v>
          </cell>
        </row>
        <row r="42">
          <cell r="G42">
            <v>75</v>
          </cell>
          <cell r="H42">
            <v>18.75</v>
          </cell>
        </row>
        <row r="43">
          <cell r="G43">
            <v>68</v>
          </cell>
          <cell r="H43">
            <v>17</v>
          </cell>
        </row>
        <row r="44">
          <cell r="G44">
            <v>78</v>
          </cell>
          <cell r="H44">
            <v>19.5</v>
          </cell>
        </row>
        <row r="45">
          <cell r="G45">
            <v>52</v>
          </cell>
          <cell r="H45">
            <v>13</v>
          </cell>
        </row>
        <row r="46">
          <cell r="G46">
            <v>67</v>
          </cell>
          <cell r="H46">
            <v>16.75</v>
          </cell>
        </row>
        <row r="47">
          <cell r="G47">
            <v>57</v>
          </cell>
          <cell r="H47">
            <v>14.25</v>
          </cell>
        </row>
        <row r="48">
          <cell r="G48">
            <v>53</v>
          </cell>
          <cell r="H48">
            <v>13.25</v>
          </cell>
        </row>
        <row r="49">
          <cell r="G49">
            <v>55</v>
          </cell>
          <cell r="H49">
            <v>13.75</v>
          </cell>
        </row>
        <row r="50">
          <cell r="G50">
            <v>66</v>
          </cell>
          <cell r="H50">
            <v>16.5</v>
          </cell>
        </row>
        <row r="51">
          <cell r="G51">
            <v>92</v>
          </cell>
          <cell r="H51">
            <v>23</v>
          </cell>
        </row>
        <row r="52">
          <cell r="G52">
            <v>63</v>
          </cell>
          <cell r="H52">
            <v>15.75</v>
          </cell>
        </row>
        <row r="53">
          <cell r="G53">
            <v>85</v>
          </cell>
          <cell r="H53">
            <v>21.25</v>
          </cell>
        </row>
        <row r="54">
          <cell r="G54">
            <v>89</v>
          </cell>
          <cell r="H54">
            <v>22.25</v>
          </cell>
        </row>
        <row r="55">
          <cell r="G55">
            <v>55</v>
          </cell>
          <cell r="H55">
            <v>13.75</v>
          </cell>
        </row>
        <row r="56">
          <cell r="G56">
            <v>81</v>
          </cell>
          <cell r="H56">
            <v>20.25</v>
          </cell>
        </row>
        <row r="57">
          <cell r="G57">
            <v>74</v>
          </cell>
          <cell r="H57">
            <v>18.5</v>
          </cell>
        </row>
        <row r="58">
          <cell r="G58">
            <v>71</v>
          </cell>
          <cell r="H58">
            <v>17.75</v>
          </cell>
        </row>
        <row r="59">
          <cell r="G59">
            <v>68</v>
          </cell>
          <cell r="H59">
            <v>17</v>
          </cell>
        </row>
      </sheetData>
      <sheetData sheetId="4"/>
      <sheetData sheetId="5"/>
    </sheetDataSet>
  </externalBook>
</externalLink>
</file>

<file path=xl/tables/table1.xml><?xml version="1.0" encoding="utf-8"?>
<table xmlns="http://schemas.openxmlformats.org/spreadsheetml/2006/main" id="1" name="Table15" displayName="Table15" ref="A1:J59" totalsRowShown="0" headerRowDxfId="14" dataDxfId="13" headerRowBorderDxfId="11" tableBorderDxfId="12" totalsRowBorderDxfId="10">
  <autoFilter ref="A1:J59"/>
  <tableColumns count="10">
    <tableColumn id="1" name="Student_ID" dataDxfId="9"/>
    <tableColumn id="2" name="Name" dataDxfId="8"/>
    <tableColumn id="3" name="Age" dataDxfId="7"/>
    <tableColumn id="4" name="Gender" dataDxfId="6"/>
    <tableColumn id="5" name="Department" dataDxfId="5"/>
    <tableColumn id="6" name="Attendance (%)" dataDxfId="4"/>
    <tableColumn id="7" name="Average_Marks" dataDxfId="3"/>
    <tableColumn id="10" name="Practical" dataDxfId="2">
      <calculatedColumnFormula>Table15[[#This Row],[Average_Marks]]*0.25</calculatedColumnFormula>
    </tableColumn>
    <tableColumn id="8" name="Last_Exam_Date" dataDxfId="1"/>
    <tableColumn id="9" name="Remarks" dataDxfId="0">
      <calculatedColumnFormula>IF(G2&gt;90,"Excellent",IF(G2&gt;80,"Good",IF(G2&gt;70,"Average",IF(G2&gt;60,"Needs Improvement","Poor"))))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topLeftCell="I1" workbookViewId="0">
      <selection activeCell="I11" sqref="I11"/>
    </sheetView>
  </sheetViews>
  <sheetFormatPr defaultRowHeight="15" x14ac:dyDescent="0.25"/>
  <cols>
    <col min="1" max="1" width="16.42578125" bestFit="1" customWidth="1"/>
    <col min="2" max="2" width="15.140625" bestFit="1" customWidth="1"/>
    <col min="3" max="3" width="9.7109375" bestFit="1" customWidth="1"/>
    <col min="4" max="4" width="13" bestFit="1" customWidth="1"/>
    <col min="5" max="5" width="17.5703125" bestFit="1" customWidth="1"/>
    <col min="6" max="7" width="21" bestFit="1" customWidth="1"/>
    <col min="8" max="8" width="14.140625" bestFit="1" customWidth="1"/>
    <col min="9" max="9" width="21.28515625" bestFit="1" customWidth="1"/>
    <col min="10" max="10" width="21.42578125" bestFit="1" customWidth="1"/>
  </cols>
  <sheetData>
    <row r="1" spans="1:10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6.5" x14ac:dyDescent="0.3">
      <c r="A2" s="4" t="s">
        <v>10</v>
      </c>
      <c r="B2" s="5" t="s">
        <v>11</v>
      </c>
      <c r="C2" s="5">
        <v>19</v>
      </c>
      <c r="D2" s="5" t="s">
        <v>12</v>
      </c>
      <c r="E2" s="5" t="s">
        <v>13</v>
      </c>
      <c r="F2" s="5">
        <v>74</v>
      </c>
      <c r="G2" s="5">
        <v>68</v>
      </c>
      <c r="H2" s="5">
        <f>Table15[[#This Row],[Average_Marks]]*0.25</f>
        <v>17</v>
      </c>
      <c r="I2" s="5" t="s">
        <v>14</v>
      </c>
      <c r="J2" s="6" t="str">
        <f>IF(G2&gt;90,"Excellent",IF(G2&gt;80,"Good",IF(G2&gt;70,"Average",IF(G2&gt;60,"Needs Improvement","Poor"))))</f>
        <v>Needs Improvement</v>
      </c>
    </row>
    <row r="3" spans="1:10" ht="16.5" x14ac:dyDescent="0.3">
      <c r="A3" s="4" t="s">
        <v>15</v>
      </c>
      <c r="B3" s="5" t="s">
        <v>16</v>
      </c>
      <c r="C3" s="5">
        <v>21</v>
      </c>
      <c r="D3" s="5" t="s">
        <v>17</v>
      </c>
      <c r="E3" s="5" t="s">
        <v>18</v>
      </c>
      <c r="F3" s="5">
        <v>60</v>
      </c>
      <c r="G3" s="5">
        <v>85</v>
      </c>
      <c r="H3" s="5">
        <f>Table15[[#This Row],[Average_Marks]]*0.25</f>
        <v>21.25</v>
      </c>
      <c r="I3" s="5" t="s">
        <v>19</v>
      </c>
      <c r="J3" s="6" t="str">
        <f>IF(G3&gt;90,"Excellent",IF(G3&gt;80,"Good",IF(G3&gt;70,"Average",IF(G3&gt;60,"Needs Improvement","Poor"))))</f>
        <v>Good</v>
      </c>
    </row>
    <row r="4" spans="1:10" ht="16.5" x14ac:dyDescent="0.3">
      <c r="A4" s="4" t="s">
        <v>20</v>
      </c>
      <c r="B4" s="5" t="s">
        <v>21</v>
      </c>
      <c r="C4" s="5">
        <v>21</v>
      </c>
      <c r="D4" s="5" t="s">
        <v>12</v>
      </c>
      <c r="E4" s="5" t="s">
        <v>13</v>
      </c>
      <c r="F4" s="5">
        <v>69</v>
      </c>
      <c r="G4" s="5">
        <v>81</v>
      </c>
      <c r="H4" s="5">
        <f>Table15[[#This Row],[Average_Marks]]*0.25</f>
        <v>20.25</v>
      </c>
      <c r="I4" s="5" t="s">
        <v>14</v>
      </c>
      <c r="J4" s="6" t="str">
        <f>IF(G4&gt;90,"Excellent",IF(G4&gt;80,"Good",IF(G4&gt;70,"Average",IF(G4&gt;60,"Needs Improvement","Poor"))))</f>
        <v>Good</v>
      </c>
    </row>
    <row r="5" spans="1:10" ht="16.5" x14ac:dyDescent="0.3">
      <c r="A5" s="4" t="s">
        <v>22</v>
      </c>
      <c r="B5" s="5" t="s">
        <v>23</v>
      </c>
      <c r="C5" s="5">
        <v>21</v>
      </c>
      <c r="D5" s="5" t="s">
        <v>12</v>
      </c>
      <c r="E5" s="5" t="s">
        <v>13</v>
      </c>
      <c r="F5" s="5">
        <v>76</v>
      </c>
      <c r="G5" s="5">
        <v>62</v>
      </c>
      <c r="H5" s="5">
        <f>Table15[[#This Row],[Average_Marks]]*0.25</f>
        <v>15.5</v>
      </c>
      <c r="I5" s="5" t="s">
        <v>14</v>
      </c>
      <c r="J5" s="6" t="str">
        <f>IF(G5&gt;90,"Excellent",IF(G5&gt;80,"Good",IF(G5&gt;70,"Average",IF(G5&gt;60,"Needs Improvement","Poor"))))</f>
        <v>Needs Improvement</v>
      </c>
    </row>
    <row r="6" spans="1:10" ht="16.5" x14ac:dyDescent="0.3">
      <c r="A6" s="4" t="s">
        <v>24</v>
      </c>
      <c r="B6" s="5" t="s">
        <v>25</v>
      </c>
      <c r="C6" s="5">
        <v>24</v>
      </c>
      <c r="D6" s="5" t="s">
        <v>17</v>
      </c>
      <c r="E6" s="5" t="s">
        <v>18</v>
      </c>
      <c r="F6" s="5">
        <v>86</v>
      </c>
      <c r="G6" s="5">
        <v>55</v>
      </c>
      <c r="H6" s="5">
        <f>Table15[[#This Row],[Average_Marks]]*0.25</f>
        <v>13.75</v>
      </c>
      <c r="I6" s="5" t="s">
        <v>26</v>
      </c>
      <c r="J6" s="6" t="s">
        <v>27</v>
      </c>
    </row>
    <row r="7" spans="1:10" ht="16.5" x14ac:dyDescent="0.3">
      <c r="A7" s="4" t="s">
        <v>28</v>
      </c>
      <c r="B7" s="5" t="s">
        <v>29</v>
      </c>
      <c r="C7" s="5">
        <v>25</v>
      </c>
      <c r="D7" s="5" t="s">
        <v>17</v>
      </c>
      <c r="E7" s="5" t="s">
        <v>30</v>
      </c>
      <c r="F7" s="5">
        <v>52</v>
      </c>
      <c r="G7" s="5">
        <v>58</v>
      </c>
      <c r="H7" s="5">
        <f>Table15[[#This Row],[Average_Marks]]*0.25</f>
        <v>14.5</v>
      </c>
      <c r="I7" s="5" t="s">
        <v>31</v>
      </c>
      <c r="J7" s="6" t="str">
        <f t="shared" ref="J7:J12" si="0">IF(G7&gt;90,"Excellent",IF(G7&gt;80,"Good",IF(G7&gt;70,"Average",IF(G7&gt;60,"Needs Improvement","Poor"))))</f>
        <v>Poor</v>
      </c>
    </row>
    <row r="8" spans="1:10" ht="16.5" x14ac:dyDescent="0.3">
      <c r="A8" s="4" t="s">
        <v>32</v>
      </c>
      <c r="B8" s="5" t="s">
        <v>33</v>
      </c>
      <c r="C8" s="5">
        <v>21</v>
      </c>
      <c r="D8" s="5" t="s">
        <v>17</v>
      </c>
      <c r="E8" s="5" t="s">
        <v>34</v>
      </c>
      <c r="F8" s="5">
        <v>92</v>
      </c>
      <c r="G8" s="5">
        <v>62</v>
      </c>
      <c r="H8" s="5">
        <f>Table15[[#This Row],[Average_Marks]]*0.25</f>
        <v>15.5</v>
      </c>
      <c r="I8" s="5" t="s">
        <v>14</v>
      </c>
      <c r="J8" s="6" t="str">
        <f t="shared" si="0"/>
        <v>Needs Improvement</v>
      </c>
    </row>
    <row r="9" spans="1:10" ht="16.5" x14ac:dyDescent="0.3">
      <c r="A9" s="4" t="s">
        <v>35</v>
      </c>
      <c r="B9" s="5" t="s">
        <v>36</v>
      </c>
      <c r="C9" s="5">
        <v>24</v>
      </c>
      <c r="D9" s="5" t="s">
        <v>12</v>
      </c>
      <c r="E9" s="5" t="s">
        <v>34</v>
      </c>
      <c r="F9" s="5">
        <v>83</v>
      </c>
      <c r="G9" s="5">
        <v>58</v>
      </c>
      <c r="H9" s="5">
        <f>Table15[[#This Row],[Average_Marks]]*0.25</f>
        <v>14.5</v>
      </c>
      <c r="I9" s="5" t="s">
        <v>37</v>
      </c>
      <c r="J9" s="6" t="str">
        <f t="shared" si="0"/>
        <v>Poor</v>
      </c>
    </row>
    <row r="10" spans="1:10" ht="16.5" x14ac:dyDescent="0.3">
      <c r="A10" s="4" t="s">
        <v>38</v>
      </c>
      <c r="B10" s="5" t="s">
        <v>39</v>
      </c>
      <c r="C10" s="5">
        <v>21</v>
      </c>
      <c r="D10" s="5" t="s">
        <v>17</v>
      </c>
      <c r="E10" s="5" t="s">
        <v>18</v>
      </c>
      <c r="F10" s="5">
        <v>54</v>
      </c>
      <c r="G10" s="5">
        <v>59</v>
      </c>
      <c r="H10" s="5">
        <f>Table15[[#This Row],[Average_Marks]]*0.25</f>
        <v>14.75</v>
      </c>
      <c r="I10" s="5" t="s">
        <v>26</v>
      </c>
      <c r="J10" s="6" t="str">
        <f t="shared" si="0"/>
        <v>Poor</v>
      </c>
    </row>
    <row r="11" spans="1:10" ht="16.5" x14ac:dyDescent="0.3">
      <c r="A11" s="4" t="s">
        <v>40</v>
      </c>
      <c r="B11" s="5" t="s">
        <v>41</v>
      </c>
      <c r="C11" s="5">
        <v>19</v>
      </c>
      <c r="D11" s="5" t="s">
        <v>17</v>
      </c>
      <c r="E11" s="5" t="s">
        <v>13</v>
      </c>
      <c r="F11" s="5">
        <v>95</v>
      </c>
      <c r="G11" s="5">
        <v>64</v>
      </c>
      <c r="H11" s="5">
        <f>Table15[[#This Row],[Average_Marks]]*0.25</f>
        <v>16</v>
      </c>
      <c r="I11" s="5" t="s">
        <v>42</v>
      </c>
      <c r="J11" s="6" t="str">
        <f t="shared" si="0"/>
        <v>Needs Improvement</v>
      </c>
    </row>
    <row r="12" spans="1:10" ht="16.5" x14ac:dyDescent="0.3">
      <c r="A12" s="4" t="s">
        <v>43</v>
      </c>
      <c r="B12" s="5" t="s">
        <v>44</v>
      </c>
      <c r="C12" s="5">
        <v>24</v>
      </c>
      <c r="D12" s="5" t="s">
        <v>12</v>
      </c>
      <c r="E12" s="5" t="s">
        <v>13</v>
      </c>
      <c r="F12" s="5">
        <v>85</v>
      </c>
      <c r="G12" s="5">
        <v>59</v>
      </c>
      <c r="H12" s="5">
        <f>Table15[[#This Row],[Average_Marks]]*0.25</f>
        <v>14.75</v>
      </c>
      <c r="I12" s="5" t="s">
        <v>19</v>
      </c>
      <c r="J12" s="6" t="str">
        <f t="shared" si="0"/>
        <v>Poor</v>
      </c>
    </row>
    <row r="13" spans="1:10" ht="16.5" x14ac:dyDescent="0.3">
      <c r="A13" s="4" t="s">
        <v>45</v>
      </c>
      <c r="B13" s="5" t="s">
        <v>46</v>
      </c>
      <c r="C13" s="5">
        <v>22</v>
      </c>
      <c r="D13" s="5" t="s">
        <v>17</v>
      </c>
      <c r="E13" s="5" t="s">
        <v>34</v>
      </c>
      <c r="F13" s="5">
        <v>53</v>
      </c>
      <c r="G13" s="5">
        <v>97</v>
      </c>
      <c r="H13" s="5">
        <f>Table15[[#This Row],[Average_Marks]]*0.25</f>
        <v>24.25</v>
      </c>
      <c r="I13" s="5" t="s">
        <v>14</v>
      </c>
      <c r="J13" s="6" t="s">
        <v>47</v>
      </c>
    </row>
    <row r="14" spans="1:10" ht="16.5" x14ac:dyDescent="0.3">
      <c r="A14" s="4" t="s">
        <v>48</v>
      </c>
      <c r="B14" s="5" t="s">
        <v>49</v>
      </c>
      <c r="C14" s="5">
        <v>21</v>
      </c>
      <c r="D14" s="5" t="s">
        <v>17</v>
      </c>
      <c r="E14" s="5" t="s">
        <v>34</v>
      </c>
      <c r="F14" s="5">
        <v>64</v>
      </c>
      <c r="G14" s="5">
        <v>54</v>
      </c>
      <c r="H14" s="5">
        <f>Table15[[#This Row],[Average_Marks]]*0.25</f>
        <v>13.5</v>
      </c>
      <c r="I14" s="5" t="s">
        <v>19</v>
      </c>
      <c r="J14" s="6" t="str">
        <f t="shared" ref="J14:J22" si="1">IF(G14&gt;90,"Excellent",IF(G14&gt;80,"Good",IF(G14&gt;70,"Average",IF(G14&gt;60,"Needs Improvement","Poor"))))</f>
        <v>Poor</v>
      </c>
    </row>
    <row r="15" spans="1:10" ht="16.5" x14ac:dyDescent="0.3">
      <c r="A15" s="4" t="s">
        <v>50</v>
      </c>
      <c r="B15" s="5" t="s">
        <v>51</v>
      </c>
      <c r="C15" s="5">
        <v>25</v>
      </c>
      <c r="D15" s="5" t="s">
        <v>17</v>
      </c>
      <c r="E15" s="5" t="s">
        <v>34</v>
      </c>
      <c r="F15" s="5">
        <v>92</v>
      </c>
      <c r="G15" s="5">
        <v>77</v>
      </c>
      <c r="H15" s="5">
        <f>Table15[[#This Row],[Average_Marks]]*0.25</f>
        <v>19.25</v>
      </c>
      <c r="I15" s="5" t="s">
        <v>14</v>
      </c>
      <c r="J15" s="6" t="str">
        <f t="shared" si="1"/>
        <v>Average</v>
      </c>
    </row>
    <row r="16" spans="1:10" ht="16.5" x14ac:dyDescent="0.3">
      <c r="A16" s="4" t="s">
        <v>52</v>
      </c>
      <c r="B16" s="5" t="s">
        <v>53</v>
      </c>
      <c r="C16" s="5">
        <v>19</v>
      </c>
      <c r="D16" s="5" t="s">
        <v>17</v>
      </c>
      <c r="E16" s="5" t="s">
        <v>30</v>
      </c>
      <c r="F16" s="5">
        <v>89</v>
      </c>
      <c r="G16" s="5">
        <v>71</v>
      </c>
      <c r="H16" s="5">
        <f>Table15[[#This Row],[Average_Marks]]*0.25</f>
        <v>17.75</v>
      </c>
      <c r="I16" s="5" t="s">
        <v>14</v>
      </c>
      <c r="J16" s="6" t="str">
        <f t="shared" si="1"/>
        <v>Average</v>
      </c>
    </row>
    <row r="17" spans="1:10" ht="16.5" x14ac:dyDescent="0.3">
      <c r="A17" s="4" t="s">
        <v>54</v>
      </c>
      <c r="B17" s="5" t="s">
        <v>55</v>
      </c>
      <c r="C17" s="5">
        <v>22</v>
      </c>
      <c r="D17" s="5" t="s">
        <v>17</v>
      </c>
      <c r="E17" s="5" t="s">
        <v>13</v>
      </c>
      <c r="F17" s="5">
        <v>59</v>
      </c>
      <c r="G17" s="5">
        <v>55</v>
      </c>
      <c r="H17" s="5">
        <f>Table15[[#This Row],[Average_Marks]]*0.25</f>
        <v>13.75</v>
      </c>
      <c r="I17" s="5" t="s">
        <v>14</v>
      </c>
      <c r="J17" s="6" t="str">
        <f t="shared" si="1"/>
        <v>Poor</v>
      </c>
    </row>
    <row r="18" spans="1:10" ht="16.5" x14ac:dyDescent="0.3">
      <c r="A18" s="4" t="s">
        <v>56</v>
      </c>
      <c r="B18" s="5" t="s">
        <v>57</v>
      </c>
      <c r="C18" s="5">
        <v>19</v>
      </c>
      <c r="D18" s="5" t="s">
        <v>17</v>
      </c>
      <c r="E18" s="5" t="s">
        <v>30</v>
      </c>
      <c r="F18" s="5">
        <v>61</v>
      </c>
      <c r="G18" s="5">
        <v>55</v>
      </c>
      <c r="H18" s="5">
        <f>Table15[[#This Row],[Average_Marks]]*0.25</f>
        <v>13.75</v>
      </c>
      <c r="I18" s="5" t="s">
        <v>19</v>
      </c>
      <c r="J18" s="6" t="str">
        <f t="shared" si="1"/>
        <v>Poor</v>
      </c>
    </row>
    <row r="19" spans="1:10" ht="16.5" x14ac:dyDescent="0.3">
      <c r="A19" s="4" t="s">
        <v>58</v>
      </c>
      <c r="B19" s="5" t="s">
        <v>59</v>
      </c>
      <c r="C19" s="5">
        <v>22</v>
      </c>
      <c r="D19" s="5" t="s">
        <v>17</v>
      </c>
      <c r="E19" s="5" t="s">
        <v>30</v>
      </c>
      <c r="F19" s="5">
        <v>69</v>
      </c>
      <c r="G19" s="5">
        <v>70</v>
      </c>
      <c r="H19" s="5">
        <f>Table15[[#This Row],[Average_Marks]]*0.25</f>
        <v>17.5</v>
      </c>
      <c r="I19" s="5" t="s">
        <v>42</v>
      </c>
      <c r="J19" s="6" t="str">
        <f t="shared" si="1"/>
        <v>Needs Improvement</v>
      </c>
    </row>
    <row r="20" spans="1:10" ht="16.5" x14ac:dyDescent="0.3">
      <c r="A20" s="4" t="s">
        <v>60</v>
      </c>
      <c r="B20" s="5" t="s">
        <v>61</v>
      </c>
      <c r="C20" s="5">
        <v>19</v>
      </c>
      <c r="D20" s="5" t="s">
        <v>17</v>
      </c>
      <c r="E20" s="5" t="s">
        <v>18</v>
      </c>
      <c r="F20" s="5">
        <v>75</v>
      </c>
      <c r="G20" s="5">
        <v>100</v>
      </c>
      <c r="H20" s="5">
        <f>Table15[[#This Row],[Average_Marks]]*0.25</f>
        <v>25</v>
      </c>
      <c r="I20" s="5" t="s">
        <v>62</v>
      </c>
      <c r="J20" s="6" t="str">
        <f t="shared" si="1"/>
        <v>Excellent</v>
      </c>
    </row>
    <row r="21" spans="1:10" ht="16.5" x14ac:dyDescent="0.3">
      <c r="A21" s="4" t="s">
        <v>63</v>
      </c>
      <c r="B21" s="5" t="s">
        <v>64</v>
      </c>
      <c r="C21" s="5">
        <v>19</v>
      </c>
      <c r="D21" s="5" t="s">
        <v>12</v>
      </c>
      <c r="E21" s="5" t="s">
        <v>30</v>
      </c>
      <c r="F21" s="5">
        <v>82</v>
      </c>
      <c r="G21" s="5">
        <v>95</v>
      </c>
      <c r="H21" s="5">
        <f>Table15[[#This Row],[Average_Marks]]*0.25</f>
        <v>23.75</v>
      </c>
      <c r="I21" s="5" t="s">
        <v>65</v>
      </c>
      <c r="J21" s="6" t="str">
        <f t="shared" si="1"/>
        <v>Excellent</v>
      </c>
    </row>
    <row r="22" spans="1:10" ht="16.5" x14ac:dyDescent="0.3">
      <c r="A22" s="4" t="s">
        <v>66</v>
      </c>
      <c r="B22" s="5" t="s">
        <v>67</v>
      </c>
      <c r="C22" s="5">
        <v>19</v>
      </c>
      <c r="D22" s="5" t="s">
        <v>12</v>
      </c>
      <c r="E22" s="5" t="s">
        <v>13</v>
      </c>
      <c r="F22" s="5">
        <v>69</v>
      </c>
      <c r="G22" s="5">
        <v>92</v>
      </c>
      <c r="H22" s="5">
        <f>Table15[[#This Row],[Average_Marks]]*0.25</f>
        <v>23</v>
      </c>
      <c r="I22" s="5" t="s">
        <v>68</v>
      </c>
      <c r="J22" s="6" t="str">
        <f t="shared" si="1"/>
        <v>Excellent</v>
      </c>
    </row>
    <row r="23" spans="1:10" ht="16.5" x14ac:dyDescent="0.3">
      <c r="A23" s="4" t="s">
        <v>69</v>
      </c>
      <c r="B23" s="5" t="s">
        <v>70</v>
      </c>
      <c r="C23" s="5">
        <v>22</v>
      </c>
      <c r="D23" s="5" t="s">
        <v>17</v>
      </c>
      <c r="E23" s="5" t="s">
        <v>18</v>
      </c>
      <c r="F23" s="5">
        <v>74</v>
      </c>
      <c r="G23" s="5">
        <v>63</v>
      </c>
      <c r="H23" s="5">
        <f>Table15[[#This Row],[Average_Marks]]*0.25</f>
        <v>15.75</v>
      </c>
      <c r="I23" s="5" t="s">
        <v>65</v>
      </c>
      <c r="J23" s="6" t="s">
        <v>71</v>
      </c>
    </row>
    <row r="24" spans="1:10" ht="16.5" x14ac:dyDescent="0.3">
      <c r="A24" s="4" t="s">
        <v>20</v>
      </c>
      <c r="B24" s="5" t="s">
        <v>21</v>
      </c>
      <c r="C24" s="5">
        <v>21</v>
      </c>
      <c r="D24" s="5" t="s">
        <v>12</v>
      </c>
      <c r="E24" s="5" t="s">
        <v>13</v>
      </c>
      <c r="F24" s="5">
        <v>69</v>
      </c>
      <c r="G24" s="5">
        <v>81</v>
      </c>
      <c r="H24" s="5">
        <f>Table15[[#This Row],[Average_Marks]]*0.25</f>
        <v>20.25</v>
      </c>
      <c r="I24" s="5" t="s">
        <v>68</v>
      </c>
      <c r="J24" s="6" t="str">
        <f t="shared" ref="J24:J35" si="2">IF(G24&gt;90,"Excellent",IF(G24&gt;80,"Good",IF(G24&gt;70,"Average",IF(G24&gt;60,"Needs Improvement","Poor"))))</f>
        <v>Good</v>
      </c>
    </row>
    <row r="25" spans="1:10" ht="16.5" x14ac:dyDescent="0.3">
      <c r="A25" s="4" t="s">
        <v>72</v>
      </c>
      <c r="B25" s="5" t="s">
        <v>73</v>
      </c>
      <c r="C25" s="5">
        <v>23</v>
      </c>
      <c r="D25" s="5" t="s">
        <v>17</v>
      </c>
      <c r="E25" s="5" t="s">
        <v>30</v>
      </c>
      <c r="F25" s="5">
        <v>89</v>
      </c>
      <c r="G25" s="5">
        <v>58</v>
      </c>
      <c r="H25" s="5">
        <f>Table15[[#This Row],[Average_Marks]]*0.25</f>
        <v>14.5</v>
      </c>
      <c r="I25" s="5" t="s">
        <v>62</v>
      </c>
      <c r="J25" s="6" t="str">
        <f t="shared" si="2"/>
        <v>Poor</v>
      </c>
    </row>
    <row r="26" spans="1:10" ht="16.5" x14ac:dyDescent="0.3">
      <c r="A26" s="4" t="s">
        <v>74</v>
      </c>
      <c r="B26" s="5" t="s">
        <v>75</v>
      </c>
      <c r="C26" s="5">
        <v>22</v>
      </c>
      <c r="D26" s="5" t="s">
        <v>12</v>
      </c>
      <c r="E26" s="5" t="s">
        <v>13</v>
      </c>
      <c r="F26" s="5">
        <v>51</v>
      </c>
      <c r="G26" s="5">
        <v>85</v>
      </c>
      <c r="H26" s="5">
        <f>Table15[[#This Row],[Average_Marks]]*0.25</f>
        <v>21.25</v>
      </c>
      <c r="I26" s="5" t="s">
        <v>62</v>
      </c>
      <c r="J26" s="6" t="str">
        <f t="shared" si="2"/>
        <v>Good</v>
      </c>
    </row>
    <row r="27" spans="1:10" ht="16.5" x14ac:dyDescent="0.3">
      <c r="A27" s="4" t="s">
        <v>76</v>
      </c>
      <c r="B27" s="5" t="s">
        <v>77</v>
      </c>
      <c r="C27" s="5">
        <v>21</v>
      </c>
      <c r="D27" s="5" t="s">
        <v>12</v>
      </c>
      <c r="E27" s="5" t="s">
        <v>18</v>
      </c>
      <c r="F27" s="5">
        <v>63</v>
      </c>
      <c r="G27" s="5">
        <v>98</v>
      </c>
      <c r="H27" s="5">
        <f>Table15[[#This Row],[Average_Marks]]*0.25</f>
        <v>24.5</v>
      </c>
      <c r="I27" s="5" t="s">
        <v>65</v>
      </c>
      <c r="J27" s="6" t="str">
        <f t="shared" si="2"/>
        <v>Excellent</v>
      </c>
    </row>
    <row r="28" spans="1:10" ht="16.5" x14ac:dyDescent="0.3">
      <c r="A28" s="4" t="s">
        <v>78</v>
      </c>
      <c r="B28" s="5" t="s">
        <v>79</v>
      </c>
      <c r="C28" s="5">
        <v>21</v>
      </c>
      <c r="D28" s="5" t="s">
        <v>12</v>
      </c>
      <c r="E28" s="5" t="s">
        <v>18</v>
      </c>
      <c r="F28" s="5">
        <v>87</v>
      </c>
      <c r="G28" s="5">
        <v>79</v>
      </c>
      <c r="H28" s="5">
        <f>Table15[[#This Row],[Average_Marks]]*0.25</f>
        <v>19.75</v>
      </c>
      <c r="I28" s="5" t="s">
        <v>62</v>
      </c>
      <c r="J28" s="6" t="str">
        <f t="shared" si="2"/>
        <v>Average</v>
      </c>
    </row>
    <row r="29" spans="1:10" ht="16.5" x14ac:dyDescent="0.3">
      <c r="A29" s="4" t="s">
        <v>80</v>
      </c>
      <c r="B29" s="5" t="s">
        <v>81</v>
      </c>
      <c r="C29" s="5">
        <v>20</v>
      </c>
      <c r="D29" s="5" t="s">
        <v>12</v>
      </c>
      <c r="E29" s="5" t="s">
        <v>34</v>
      </c>
      <c r="F29" s="5">
        <v>97</v>
      </c>
      <c r="G29" s="5">
        <v>80</v>
      </c>
      <c r="H29" s="5">
        <f>Table15[[#This Row],[Average_Marks]]*0.25</f>
        <v>20</v>
      </c>
      <c r="I29" s="5" t="s">
        <v>65</v>
      </c>
      <c r="J29" s="6" t="str">
        <f t="shared" si="2"/>
        <v>Average</v>
      </c>
    </row>
    <row r="30" spans="1:10" ht="16.5" x14ac:dyDescent="0.3">
      <c r="A30" s="4" t="s">
        <v>82</v>
      </c>
      <c r="B30" s="5" t="s">
        <v>83</v>
      </c>
      <c r="C30" s="5">
        <v>24</v>
      </c>
      <c r="D30" s="5" t="s">
        <v>17</v>
      </c>
      <c r="E30" s="5" t="s">
        <v>18</v>
      </c>
      <c r="F30" s="5">
        <v>76</v>
      </c>
      <c r="G30" s="5">
        <v>64</v>
      </c>
      <c r="H30" s="5">
        <f>Table15[[#This Row],[Average_Marks]]*0.25</f>
        <v>16</v>
      </c>
      <c r="I30" s="5" t="s">
        <v>26</v>
      </c>
      <c r="J30" s="6" t="str">
        <f t="shared" si="2"/>
        <v>Needs Improvement</v>
      </c>
    </row>
    <row r="31" spans="1:10" ht="16.5" x14ac:dyDescent="0.3">
      <c r="A31" s="4" t="s">
        <v>84</v>
      </c>
      <c r="B31" s="5" t="s">
        <v>85</v>
      </c>
      <c r="C31" s="5">
        <v>20</v>
      </c>
      <c r="D31" s="5" t="s">
        <v>17</v>
      </c>
      <c r="E31" s="5" t="s">
        <v>30</v>
      </c>
      <c r="F31" s="5">
        <v>77</v>
      </c>
      <c r="G31" s="5">
        <v>90</v>
      </c>
      <c r="H31" s="5">
        <f>Table15[[#This Row],[Average_Marks]]*0.25</f>
        <v>22.5</v>
      </c>
      <c r="I31" s="5" t="s">
        <v>62</v>
      </c>
      <c r="J31" s="6" t="str">
        <f t="shared" si="2"/>
        <v>Good</v>
      </c>
    </row>
    <row r="32" spans="1:10" ht="16.5" x14ac:dyDescent="0.3">
      <c r="A32" s="4" t="s">
        <v>86</v>
      </c>
      <c r="B32" s="5" t="s">
        <v>87</v>
      </c>
      <c r="C32" s="5">
        <v>21</v>
      </c>
      <c r="D32" s="5" t="s">
        <v>17</v>
      </c>
      <c r="E32" s="5" t="s">
        <v>30</v>
      </c>
      <c r="F32" s="5">
        <v>55</v>
      </c>
      <c r="G32" s="5">
        <v>59</v>
      </c>
      <c r="H32" s="5">
        <f>Table15[[#This Row],[Average_Marks]]*0.25</f>
        <v>14.75</v>
      </c>
      <c r="I32" s="5" t="s">
        <v>14</v>
      </c>
      <c r="J32" s="6" t="str">
        <f t="shared" si="2"/>
        <v>Poor</v>
      </c>
    </row>
    <row r="33" spans="1:10" ht="16.5" x14ac:dyDescent="0.3">
      <c r="A33" s="4" t="s">
        <v>88</v>
      </c>
      <c r="B33" s="5" t="s">
        <v>89</v>
      </c>
      <c r="C33" s="5">
        <v>19</v>
      </c>
      <c r="D33" s="5" t="s">
        <v>17</v>
      </c>
      <c r="E33" s="5" t="s">
        <v>30</v>
      </c>
      <c r="F33" s="5">
        <v>73</v>
      </c>
      <c r="G33" s="5">
        <v>67</v>
      </c>
      <c r="H33" s="5">
        <f>Table15[[#This Row],[Average_Marks]]*0.25</f>
        <v>16.75</v>
      </c>
      <c r="I33" s="5" t="s">
        <v>14</v>
      </c>
      <c r="J33" s="6" t="str">
        <f t="shared" si="2"/>
        <v>Needs Improvement</v>
      </c>
    </row>
    <row r="34" spans="1:10" ht="16.5" x14ac:dyDescent="0.3">
      <c r="A34" s="4" t="s">
        <v>90</v>
      </c>
      <c r="B34" s="5" t="s">
        <v>91</v>
      </c>
      <c r="C34" s="5">
        <v>21</v>
      </c>
      <c r="D34" s="5" t="s">
        <v>17</v>
      </c>
      <c r="E34" s="5" t="s">
        <v>30</v>
      </c>
      <c r="F34" s="5">
        <v>78</v>
      </c>
      <c r="G34" s="5">
        <v>72</v>
      </c>
      <c r="H34" s="5">
        <f>Table15[[#This Row],[Average_Marks]]*0.25</f>
        <v>18</v>
      </c>
      <c r="I34" s="5" t="s">
        <v>65</v>
      </c>
      <c r="J34" s="6" t="str">
        <f t="shared" si="2"/>
        <v>Average</v>
      </c>
    </row>
    <row r="35" spans="1:10" ht="16.5" x14ac:dyDescent="0.3">
      <c r="A35" s="4" t="s">
        <v>92</v>
      </c>
      <c r="B35" s="5" t="s">
        <v>93</v>
      </c>
      <c r="C35" s="5">
        <v>19</v>
      </c>
      <c r="D35" s="5" t="s">
        <v>12</v>
      </c>
      <c r="E35" s="5" t="s">
        <v>30</v>
      </c>
      <c r="F35" s="5">
        <v>62</v>
      </c>
      <c r="G35" s="5">
        <v>76</v>
      </c>
      <c r="H35" s="5">
        <f>Table15[[#This Row],[Average_Marks]]*0.25</f>
        <v>19</v>
      </c>
      <c r="I35" s="5" t="s">
        <v>62</v>
      </c>
      <c r="J35" s="6" t="str">
        <f t="shared" si="2"/>
        <v>Average</v>
      </c>
    </row>
    <row r="36" spans="1:10" ht="16.5" x14ac:dyDescent="0.3">
      <c r="A36" s="4" t="s">
        <v>94</v>
      </c>
      <c r="B36" s="5" t="s">
        <v>95</v>
      </c>
      <c r="C36" s="5">
        <v>25</v>
      </c>
      <c r="D36" s="5" t="s">
        <v>12</v>
      </c>
      <c r="E36" s="5" t="s">
        <v>30</v>
      </c>
      <c r="F36" s="5">
        <v>64</v>
      </c>
      <c r="G36" s="5">
        <v>62</v>
      </c>
      <c r="H36" s="5">
        <f>Table15[[#This Row],[Average_Marks]]*0.25</f>
        <v>15.5</v>
      </c>
      <c r="I36" s="5" t="s">
        <v>14</v>
      </c>
      <c r="J36" s="6" t="s">
        <v>71</v>
      </c>
    </row>
    <row r="37" spans="1:10" ht="16.5" x14ac:dyDescent="0.3">
      <c r="A37" s="4" t="s">
        <v>96</v>
      </c>
      <c r="B37" s="5" t="s">
        <v>97</v>
      </c>
      <c r="C37" s="5">
        <v>22</v>
      </c>
      <c r="D37" s="5" t="s">
        <v>17</v>
      </c>
      <c r="E37" s="5" t="s">
        <v>13</v>
      </c>
      <c r="F37" s="5">
        <v>69</v>
      </c>
      <c r="G37" s="5">
        <v>56</v>
      </c>
      <c r="H37" s="5">
        <f>Table15[[#This Row],[Average_Marks]]*0.25</f>
        <v>14</v>
      </c>
      <c r="I37" s="5" t="s">
        <v>42</v>
      </c>
      <c r="J37" s="6" t="str">
        <f t="shared" ref="J37:J47" si="3">IF(G37&gt;90,"Excellent",IF(G37&gt;80,"Good",IF(G37&gt;70,"Average",IF(G37&gt;60,"Needs Improvement","Poor"))))</f>
        <v>Poor</v>
      </c>
    </row>
    <row r="38" spans="1:10" ht="16.5" x14ac:dyDescent="0.3">
      <c r="A38" s="4" t="s">
        <v>98</v>
      </c>
      <c r="B38" s="5" t="s">
        <v>99</v>
      </c>
      <c r="C38" s="5">
        <v>21</v>
      </c>
      <c r="D38" s="5" t="s">
        <v>17</v>
      </c>
      <c r="E38" s="5" t="s">
        <v>34</v>
      </c>
      <c r="F38" s="5">
        <v>51</v>
      </c>
      <c r="G38" s="5">
        <v>82</v>
      </c>
      <c r="H38" s="5">
        <f>Table15[[#This Row],[Average_Marks]]*0.25</f>
        <v>20.5</v>
      </c>
      <c r="I38" s="5" t="s">
        <v>37</v>
      </c>
      <c r="J38" s="6" t="str">
        <f t="shared" si="3"/>
        <v>Good</v>
      </c>
    </row>
    <row r="39" spans="1:10" ht="16.5" x14ac:dyDescent="0.3">
      <c r="A39" s="4" t="s">
        <v>100</v>
      </c>
      <c r="B39" s="5" t="s">
        <v>101</v>
      </c>
      <c r="C39" s="5">
        <v>19</v>
      </c>
      <c r="D39" s="5" t="s">
        <v>12</v>
      </c>
      <c r="E39" s="5" t="s">
        <v>34</v>
      </c>
      <c r="F39" s="5">
        <v>66</v>
      </c>
      <c r="G39" s="5">
        <v>65</v>
      </c>
      <c r="H39" s="5">
        <f>Table15[[#This Row],[Average_Marks]]*0.25</f>
        <v>16.25</v>
      </c>
      <c r="I39" s="5" t="s">
        <v>14</v>
      </c>
      <c r="J39" s="6" t="str">
        <f t="shared" si="3"/>
        <v>Needs Improvement</v>
      </c>
    </row>
    <row r="40" spans="1:10" ht="16.5" x14ac:dyDescent="0.3">
      <c r="A40" s="4" t="s">
        <v>102</v>
      </c>
      <c r="B40" s="5" t="s">
        <v>103</v>
      </c>
      <c r="C40" s="5">
        <v>22</v>
      </c>
      <c r="D40" s="5" t="s">
        <v>17</v>
      </c>
      <c r="E40" s="5" t="s">
        <v>34</v>
      </c>
      <c r="F40" s="5">
        <v>61</v>
      </c>
      <c r="G40" s="5">
        <v>80</v>
      </c>
      <c r="H40" s="5">
        <f>Table15[[#This Row],[Average_Marks]]*0.25</f>
        <v>20</v>
      </c>
      <c r="I40" s="5" t="s">
        <v>42</v>
      </c>
      <c r="J40" s="6" t="str">
        <f t="shared" si="3"/>
        <v>Average</v>
      </c>
    </row>
    <row r="41" spans="1:10" ht="16.5" x14ac:dyDescent="0.3">
      <c r="A41" s="4" t="s">
        <v>104</v>
      </c>
      <c r="B41" s="5" t="s">
        <v>105</v>
      </c>
      <c r="C41" s="5">
        <v>21</v>
      </c>
      <c r="D41" s="5" t="s">
        <v>17</v>
      </c>
      <c r="E41" s="5" t="s">
        <v>34</v>
      </c>
      <c r="F41" s="5">
        <v>67</v>
      </c>
      <c r="G41" s="5">
        <v>58</v>
      </c>
      <c r="H41" s="5">
        <f>Table15[[#This Row],[Average_Marks]]*0.25</f>
        <v>14.5</v>
      </c>
      <c r="I41" s="5" t="s">
        <v>65</v>
      </c>
      <c r="J41" s="6" t="str">
        <f t="shared" si="3"/>
        <v>Poor</v>
      </c>
    </row>
    <row r="42" spans="1:10" ht="16.5" x14ac:dyDescent="0.3">
      <c r="A42" s="4" t="s">
        <v>106</v>
      </c>
      <c r="B42" s="5" t="s">
        <v>107</v>
      </c>
      <c r="C42" s="5">
        <v>22</v>
      </c>
      <c r="D42" s="5" t="s">
        <v>17</v>
      </c>
      <c r="E42" s="5" t="s">
        <v>34</v>
      </c>
      <c r="F42" s="5">
        <v>56</v>
      </c>
      <c r="G42" s="5">
        <v>75</v>
      </c>
      <c r="H42" s="5">
        <f>Table15[[#This Row],[Average_Marks]]*0.25</f>
        <v>18.75</v>
      </c>
      <c r="I42" s="5" t="s">
        <v>14</v>
      </c>
      <c r="J42" s="6" t="str">
        <f t="shared" si="3"/>
        <v>Average</v>
      </c>
    </row>
    <row r="43" spans="1:10" ht="16.5" x14ac:dyDescent="0.3">
      <c r="A43" s="4" t="s">
        <v>10</v>
      </c>
      <c r="B43" s="5" t="s">
        <v>11</v>
      </c>
      <c r="C43" s="5">
        <v>19</v>
      </c>
      <c r="D43" s="5" t="s">
        <v>12</v>
      </c>
      <c r="E43" s="5" t="s">
        <v>13</v>
      </c>
      <c r="F43" s="5">
        <v>74</v>
      </c>
      <c r="G43" s="5">
        <v>68</v>
      </c>
      <c r="H43" s="5">
        <f>Table15[[#This Row],[Average_Marks]]*0.25</f>
        <v>17</v>
      </c>
      <c r="I43" s="5" t="s">
        <v>14</v>
      </c>
      <c r="J43" s="6" t="str">
        <f t="shared" si="3"/>
        <v>Needs Improvement</v>
      </c>
    </row>
    <row r="44" spans="1:10" ht="16.5" x14ac:dyDescent="0.3">
      <c r="A44" s="4" t="s">
        <v>108</v>
      </c>
      <c r="B44" s="5" t="s">
        <v>109</v>
      </c>
      <c r="C44" s="5">
        <v>22</v>
      </c>
      <c r="D44" s="5" t="s">
        <v>17</v>
      </c>
      <c r="E44" s="5" t="s">
        <v>34</v>
      </c>
      <c r="F44" s="5">
        <v>96</v>
      </c>
      <c r="G44" s="5">
        <v>78</v>
      </c>
      <c r="H44" s="5">
        <f>Table15[[#This Row],[Average_Marks]]*0.25</f>
        <v>19.5</v>
      </c>
      <c r="I44" s="5" t="s">
        <v>19</v>
      </c>
      <c r="J44" s="6" t="str">
        <f t="shared" si="3"/>
        <v>Average</v>
      </c>
    </row>
    <row r="45" spans="1:10" ht="16.5" x14ac:dyDescent="0.3">
      <c r="A45" s="4" t="s">
        <v>110</v>
      </c>
      <c r="B45" s="5" t="s">
        <v>111</v>
      </c>
      <c r="C45" s="5">
        <v>23</v>
      </c>
      <c r="D45" s="5" t="s">
        <v>17</v>
      </c>
      <c r="E45" s="5" t="s">
        <v>13</v>
      </c>
      <c r="F45" s="5">
        <v>81</v>
      </c>
      <c r="G45" s="5">
        <v>52</v>
      </c>
      <c r="H45" s="5">
        <f>Table15[[#This Row],[Average_Marks]]*0.25</f>
        <v>13</v>
      </c>
      <c r="I45" s="5" t="s">
        <v>42</v>
      </c>
      <c r="J45" s="6" t="str">
        <f t="shared" si="3"/>
        <v>Poor</v>
      </c>
    </row>
    <row r="46" spans="1:10" ht="16.5" x14ac:dyDescent="0.3">
      <c r="A46" s="4" t="s">
        <v>112</v>
      </c>
      <c r="B46" s="5" t="s">
        <v>113</v>
      </c>
      <c r="C46" s="5">
        <v>22</v>
      </c>
      <c r="D46" s="5" t="s">
        <v>12</v>
      </c>
      <c r="E46" s="5" t="s">
        <v>34</v>
      </c>
      <c r="F46" s="5">
        <v>85</v>
      </c>
      <c r="G46" s="5">
        <v>67</v>
      </c>
      <c r="H46" s="5">
        <f>Table15[[#This Row],[Average_Marks]]*0.25</f>
        <v>16.75</v>
      </c>
      <c r="I46" s="5" t="s">
        <v>62</v>
      </c>
      <c r="J46" s="6" t="str">
        <f t="shared" si="3"/>
        <v>Needs Improvement</v>
      </c>
    </row>
    <row r="47" spans="1:10" ht="16.5" x14ac:dyDescent="0.3">
      <c r="A47" s="4" t="s">
        <v>114</v>
      </c>
      <c r="B47" s="5" t="s">
        <v>115</v>
      </c>
      <c r="C47" s="5">
        <v>22</v>
      </c>
      <c r="D47" s="5" t="s">
        <v>17</v>
      </c>
      <c r="E47" s="5" t="s">
        <v>30</v>
      </c>
      <c r="F47" s="5">
        <v>91</v>
      </c>
      <c r="G47" s="5">
        <v>57</v>
      </c>
      <c r="H47" s="5">
        <f>Table15[[#This Row],[Average_Marks]]*0.25</f>
        <v>14.25</v>
      </c>
      <c r="I47" s="5" t="s">
        <v>14</v>
      </c>
      <c r="J47" s="6" t="str">
        <f t="shared" si="3"/>
        <v>Poor</v>
      </c>
    </row>
    <row r="48" spans="1:10" ht="16.5" x14ac:dyDescent="0.3">
      <c r="A48" s="4" t="s">
        <v>116</v>
      </c>
      <c r="B48" s="5" t="s">
        <v>117</v>
      </c>
      <c r="C48" s="5">
        <v>22</v>
      </c>
      <c r="D48" s="5" t="s">
        <v>12</v>
      </c>
      <c r="E48" s="5" t="s">
        <v>18</v>
      </c>
      <c r="F48" s="5">
        <v>76</v>
      </c>
      <c r="G48" s="5">
        <v>53</v>
      </c>
      <c r="H48" s="5">
        <f>Table15[[#This Row],[Average_Marks]]*0.25</f>
        <v>13.25</v>
      </c>
      <c r="I48" s="5" t="s">
        <v>19</v>
      </c>
      <c r="J48" s="6" t="s">
        <v>27</v>
      </c>
    </row>
    <row r="49" spans="1:10" ht="16.5" x14ac:dyDescent="0.3">
      <c r="A49" s="4" t="s">
        <v>118</v>
      </c>
      <c r="B49" s="5" t="s">
        <v>119</v>
      </c>
      <c r="C49" s="5">
        <v>25</v>
      </c>
      <c r="D49" s="5" t="s">
        <v>17</v>
      </c>
      <c r="E49" s="5" t="s">
        <v>30</v>
      </c>
      <c r="F49" s="5">
        <v>54</v>
      </c>
      <c r="G49" s="5">
        <v>55</v>
      </c>
      <c r="H49" s="5">
        <f>Table15[[#This Row],[Average_Marks]]*0.25</f>
        <v>13.75</v>
      </c>
      <c r="I49" s="5" t="s">
        <v>14</v>
      </c>
      <c r="J49" s="6" t="str">
        <f t="shared" ref="J49:J55" si="4">IF(G49&gt;90,"Excellent",IF(G49&gt;80,"Good",IF(G49&gt;70,"Average",IF(G49&gt;60,"Needs Improvement","Poor"))))</f>
        <v>Poor</v>
      </c>
    </row>
    <row r="50" spans="1:10" ht="16.5" x14ac:dyDescent="0.3">
      <c r="A50" s="4" t="s">
        <v>120</v>
      </c>
      <c r="B50" s="5" t="s">
        <v>121</v>
      </c>
      <c r="C50" s="5">
        <v>19</v>
      </c>
      <c r="D50" s="5" t="s">
        <v>17</v>
      </c>
      <c r="E50" s="5" t="s">
        <v>13</v>
      </c>
      <c r="F50" s="5">
        <v>78</v>
      </c>
      <c r="G50" s="5">
        <v>66</v>
      </c>
      <c r="H50" s="5">
        <f>Table15[[#This Row],[Average_Marks]]*0.25</f>
        <v>16.5</v>
      </c>
      <c r="I50" s="5" t="s">
        <v>65</v>
      </c>
      <c r="J50" s="6" t="str">
        <f t="shared" si="4"/>
        <v>Needs Improvement</v>
      </c>
    </row>
    <row r="51" spans="1:10" ht="16.5" x14ac:dyDescent="0.3">
      <c r="A51" s="4" t="s">
        <v>122</v>
      </c>
      <c r="B51" s="5" t="s">
        <v>123</v>
      </c>
      <c r="C51" s="5">
        <v>20</v>
      </c>
      <c r="D51" s="5" t="s">
        <v>12</v>
      </c>
      <c r="E51" s="5" t="s">
        <v>34</v>
      </c>
      <c r="F51" s="5">
        <v>80</v>
      </c>
      <c r="G51" s="5">
        <v>92</v>
      </c>
      <c r="H51" s="5">
        <f>Table15[[#This Row],[Average_Marks]]*0.25</f>
        <v>23</v>
      </c>
      <c r="I51" s="5" t="s">
        <v>14</v>
      </c>
      <c r="J51" s="6" t="str">
        <f t="shared" si="4"/>
        <v>Excellent</v>
      </c>
    </row>
    <row r="52" spans="1:10" ht="16.5" x14ac:dyDescent="0.3">
      <c r="A52" s="4" t="s">
        <v>124</v>
      </c>
      <c r="B52" s="5" t="s">
        <v>125</v>
      </c>
      <c r="C52" s="5">
        <v>21</v>
      </c>
      <c r="D52" s="5" t="s">
        <v>17</v>
      </c>
      <c r="E52" s="5" t="s">
        <v>34</v>
      </c>
      <c r="F52" s="5">
        <v>89</v>
      </c>
      <c r="G52" s="5">
        <v>63</v>
      </c>
      <c r="H52" s="5">
        <f>Table15[[#This Row],[Average_Marks]]*0.25</f>
        <v>15.75</v>
      </c>
      <c r="I52" s="5" t="s">
        <v>26</v>
      </c>
      <c r="J52" s="6" t="str">
        <f t="shared" si="4"/>
        <v>Needs Improvement</v>
      </c>
    </row>
    <row r="53" spans="1:10" ht="16.5" x14ac:dyDescent="0.3">
      <c r="A53" s="4" t="s">
        <v>126</v>
      </c>
      <c r="B53" s="5" t="s">
        <v>127</v>
      </c>
      <c r="C53" s="5">
        <v>25</v>
      </c>
      <c r="D53" s="5" t="s">
        <v>17</v>
      </c>
      <c r="E53" s="5" t="s">
        <v>34</v>
      </c>
      <c r="F53" s="5">
        <v>72</v>
      </c>
      <c r="G53" s="5">
        <v>85</v>
      </c>
      <c r="H53" s="5">
        <f>Table15[[#This Row],[Average_Marks]]*0.25</f>
        <v>21.25</v>
      </c>
      <c r="I53" s="5" t="s">
        <v>37</v>
      </c>
      <c r="J53" s="6" t="str">
        <f t="shared" si="4"/>
        <v>Good</v>
      </c>
    </row>
    <row r="54" spans="1:10" ht="16.5" x14ac:dyDescent="0.3">
      <c r="A54" s="4" t="s">
        <v>128</v>
      </c>
      <c r="B54" s="5" t="s">
        <v>11</v>
      </c>
      <c r="C54" s="5">
        <v>22</v>
      </c>
      <c r="D54" s="5" t="s">
        <v>12</v>
      </c>
      <c r="E54" s="5" t="s">
        <v>34</v>
      </c>
      <c r="F54" s="5">
        <v>56</v>
      </c>
      <c r="G54" s="5">
        <v>89</v>
      </c>
      <c r="H54" s="5">
        <f>Table15[[#This Row],[Average_Marks]]*0.25</f>
        <v>22.25</v>
      </c>
      <c r="I54" s="5" t="s">
        <v>62</v>
      </c>
      <c r="J54" s="6" t="str">
        <f t="shared" si="4"/>
        <v>Good</v>
      </c>
    </row>
    <row r="55" spans="1:10" ht="16.5" x14ac:dyDescent="0.3">
      <c r="A55" s="4" t="s">
        <v>15</v>
      </c>
      <c r="B55" s="5" t="s">
        <v>16</v>
      </c>
      <c r="C55" s="5">
        <v>21</v>
      </c>
      <c r="D55" s="5" t="s">
        <v>17</v>
      </c>
      <c r="E55" s="5" t="s">
        <v>18</v>
      </c>
      <c r="F55" s="5">
        <v>60</v>
      </c>
      <c r="G55" s="5">
        <v>55</v>
      </c>
      <c r="H55" s="5">
        <f>Table15[[#This Row],[Average_Marks]]*0.25</f>
        <v>13.75</v>
      </c>
      <c r="I55" s="5" t="s">
        <v>19</v>
      </c>
      <c r="J55" s="6" t="str">
        <f t="shared" si="4"/>
        <v>Poor</v>
      </c>
    </row>
    <row r="56" spans="1:10" ht="16.5" x14ac:dyDescent="0.3">
      <c r="A56" s="4" t="s">
        <v>129</v>
      </c>
      <c r="B56" s="5" t="s">
        <v>16</v>
      </c>
      <c r="C56" s="5">
        <v>22</v>
      </c>
      <c r="D56" s="5" t="s">
        <v>12</v>
      </c>
      <c r="E56" s="5" t="s">
        <v>30</v>
      </c>
      <c r="F56" s="5">
        <v>64</v>
      </c>
      <c r="G56" s="5">
        <v>81</v>
      </c>
      <c r="H56" s="5">
        <f>Table15[[#This Row],[Average_Marks]]*0.25</f>
        <v>20.25</v>
      </c>
      <c r="I56" s="5" t="s">
        <v>26</v>
      </c>
      <c r="J56" s="6" t="s">
        <v>130</v>
      </c>
    </row>
    <row r="57" spans="1:10" ht="16.5" x14ac:dyDescent="0.3">
      <c r="A57" s="4" t="s">
        <v>131</v>
      </c>
      <c r="B57" s="5" t="s">
        <v>44</v>
      </c>
      <c r="C57" s="5">
        <v>20</v>
      </c>
      <c r="D57" s="5" t="s">
        <v>17</v>
      </c>
      <c r="E57" s="5" t="s">
        <v>34</v>
      </c>
      <c r="F57" s="5">
        <v>69</v>
      </c>
      <c r="G57" s="5">
        <v>74</v>
      </c>
      <c r="H57" s="5">
        <f>Table15[[#This Row],[Average_Marks]]*0.25</f>
        <v>18.5</v>
      </c>
      <c r="I57" s="5" t="s">
        <v>14</v>
      </c>
      <c r="J57" s="6" t="str">
        <f>IF(G57&gt;90,"Excellent",IF(G57&gt;80,"Good",IF(G57&gt;70,"Average",IF(G57&gt;60,"Needs Improvement","Poor"))))</f>
        <v>Average</v>
      </c>
    </row>
    <row r="58" spans="1:10" ht="16.5" x14ac:dyDescent="0.3">
      <c r="A58" s="4" t="s">
        <v>132</v>
      </c>
      <c r="B58" s="5" t="s">
        <v>46</v>
      </c>
      <c r="C58" s="5">
        <v>20</v>
      </c>
      <c r="D58" s="5" t="s">
        <v>17</v>
      </c>
      <c r="E58" s="5" t="s">
        <v>34</v>
      </c>
      <c r="F58" s="5">
        <v>83</v>
      </c>
      <c r="G58" s="5">
        <v>71</v>
      </c>
      <c r="H58" s="5">
        <f>Table15[[#This Row],[Average_Marks]]*0.25</f>
        <v>17.75</v>
      </c>
      <c r="I58" s="5" t="s">
        <v>65</v>
      </c>
      <c r="J58" s="6" t="str">
        <f>IF(G58&gt;90,"Excellent",IF(G58&gt;80,"Good",IF(G58&gt;70,"Average",IF(G58&gt;60,"Needs Improvement","Poor"))))</f>
        <v>Average</v>
      </c>
    </row>
    <row r="59" spans="1:10" ht="16.5" x14ac:dyDescent="0.3">
      <c r="A59" s="7" t="s">
        <v>133</v>
      </c>
      <c r="B59" s="8" t="s">
        <v>49</v>
      </c>
      <c r="C59" s="8">
        <v>22</v>
      </c>
      <c r="D59" s="8" t="s">
        <v>17</v>
      </c>
      <c r="E59" s="8" t="s">
        <v>34</v>
      </c>
      <c r="F59" s="8">
        <v>80</v>
      </c>
      <c r="G59" s="8">
        <v>68</v>
      </c>
      <c r="H59" s="8">
        <f>Table15[[#This Row],[Average_Marks]]*0.25</f>
        <v>17</v>
      </c>
      <c r="I59" s="8" t="s">
        <v>19</v>
      </c>
      <c r="J59" s="9" t="str">
        <f>IF(G59&gt;90,"Excellent",IF(G59&gt;80,"Good",IF(G59&gt;70,"Average",IF(G59&gt;60,"Needs Improvement","Poor"))))</f>
        <v>Needs Improvement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2026-04-10T09:28:35Z</dcterms:created>
  <dcterms:modified xsi:type="dcterms:W3CDTF">2026-04-10T09:29:30Z</dcterms:modified>
</cp:coreProperties>
</file>