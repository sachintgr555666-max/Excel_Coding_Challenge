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F:\Entri\EXCEL Files\Excel Practice\"/>
    </mc:Choice>
  </mc:AlternateContent>
  <xr:revisionPtr revIDLastSave="0" documentId="13_ncr:1_{8765DDE5-9930-4E8B-ACB0-46DE2B3794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7" i="2"/>
  <c r="M8" i="2"/>
  <c r="M9" i="2"/>
  <c r="M10" i="2"/>
  <c r="M5" i="2"/>
  <c r="K6" i="2"/>
  <c r="K7" i="2"/>
  <c r="K8" i="2"/>
  <c r="K9" i="2"/>
  <c r="K10" i="2"/>
  <c r="K5" i="2"/>
  <c r="F3" i="2"/>
  <c r="F4" i="2"/>
  <c r="F5" i="2"/>
  <c r="F6" i="2"/>
  <c r="F7" i="2"/>
  <c r="F8" i="2"/>
  <c r="F9" i="2"/>
  <c r="F10" i="2"/>
  <c r="F11" i="2"/>
  <c r="F2" i="2"/>
  <c r="G15" i="2"/>
  <c r="L10" i="2" l="1"/>
  <c r="L9" i="2"/>
  <c r="L8" i="2"/>
  <c r="L7" i="2"/>
  <c r="L6" i="2"/>
  <c r="L5" i="2"/>
</calcChain>
</file>

<file path=xl/sharedStrings.xml><?xml version="1.0" encoding="utf-8"?>
<sst xmlns="http://schemas.openxmlformats.org/spreadsheetml/2006/main" count="63" uniqueCount="48">
  <si>
    <t>Staff ID</t>
  </si>
  <si>
    <t>Name</t>
  </si>
  <si>
    <t>Shift</t>
  </si>
  <si>
    <t>Department</t>
  </si>
  <si>
    <t>Experience</t>
  </si>
  <si>
    <t>Level</t>
  </si>
  <si>
    <t>S001</t>
  </si>
  <si>
    <t>Aryan Patel</t>
  </si>
  <si>
    <t>Morning</t>
  </si>
  <si>
    <t>Cardiology</t>
  </si>
  <si>
    <t>S002</t>
  </si>
  <si>
    <t>Ramya Reddy</t>
  </si>
  <si>
    <t>Night</t>
  </si>
  <si>
    <t>Emergency Care</t>
  </si>
  <si>
    <t>XLOOKUP</t>
  </si>
  <si>
    <t>S003</t>
  </si>
  <si>
    <t>Rohan Sharma</t>
  </si>
  <si>
    <t>Evening</t>
  </si>
  <si>
    <t>Neurology</t>
  </si>
  <si>
    <t>Doctor Name</t>
  </si>
  <si>
    <t>MATCH</t>
  </si>
  <si>
    <t>INDEX</t>
  </si>
  <si>
    <t>S004</t>
  </si>
  <si>
    <t>Ananya Nair</t>
  </si>
  <si>
    <t>ICU</t>
  </si>
  <si>
    <t>Sugery</t>
  </si>
  <si>
    <t>Shruti Iyer</t>
  </si>
  <si>
    <t>S005</t>
  </si>
  <si>
    <t>Manish Kumar</t>
  </si>
  <si>
    <t>Orthopedics</t>
  </si>
  <si>
    <t>S006</t>
  </si>
  <si>
    <t>S007</t>
  </si>
  <si>
    <t>Jai Singh</t>
  </si>
  <si>
    <t>Pediatrics</t>
  </si>
  <si>
    <t>Dermatology</t>
  </si>
  <si>
    <t>S008</t>
  </si>
  <si>
    <t>Shilpa Menon</t>
  </si>
  <si>
    <t>Maternity</t>
  </si>
  <si>
    <t>S009</t>
  </si>
  <si>
    <t>Ravi Kumar</t>
  </si>
  <si>
    <t>S010</t>
  </si>
  <si>
    <t>Meera Joshi</t>
  </si>
  <si>
    <t>Oncology</t>
  </si>
  <si>
    <t>Minimum Experince</t>
  </si>
  <si>
    <t>Mode Shift</t>
  </si>
  <si>
    <t>Junior</t>
  </si>
  <si>
    <t>Mid-level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</si>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</sst>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J17" sqref="J17"/>
    </sheetView>
  </sheetViews>
  <sheetFormatPr defaultRowHeight="15" x14ac:dyDescent="0.25"/>
  <cols>
    <col min="1" max="1" width="19.140625" bestFit="1" customWidth="1"/>
    <col min="2" max="2" width="17.85546875" customWidth="1"/>
    <col min="3" max="3" width="12.42578125" customWidth="1"/>
    <col min="4" max="4" width="17" customWidth="1"/>
    <col min="5" max="5" width="13.140625" customWidth="1"/>
    <col min="6" max="6" width="13" customWidth="1"/>
    <col min="10" max="10" width="15.28515625" bestFit="1" customWidth="1"/>
    <col min="11" max="11" width="13.7109375" bestFit="1" customWidth="1"/>
    <col min="12" max="12" width="10.5703125" style="1" customWidth="1"/>
    <col min="13" max="13" width="10.7109375" customWidth="1"/>
  </cols>
  <sheetData>
    <row r="1" spans="1:13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13" x14ac:dyDescent="0.25">
      <c r="A2" s="4" t="s">
        <v>6</v>
      </c>
      <c r="B2" s="4" t="s">
        <v>7</v>
      </c>
      <c r="C2" s="4" t="s">
        <v>8</v>
      </c>
      <c r="D2" s="4" t="s">
        <v>9</v>
      </c>
      <c r="E2" s="4">
        <v>4</v>
      </c>
      <c r="F2" s="4" t="str">
        <f>_xlfn.XLOOKUP(E2,$B$15:$D$15,$B$16:$D$16,"Entry-Level",-1)</f>
        <v>Junior</v>
      </c>
    </row>
    <row r="3" spans="1:13" x14ac:dyDescent="0.25">
      <c r="A3" s="4" t="s">
        <v>10</v>
      </c>
      <c r="B3" s="4" t="s">
        <v>11</v>
      </c>
      <c r="C3" s="4" t="s">
        <v>12</v>
      </c>
      <c r="D3" s="4" t="s">
        <v>13</v>
      </c>
      <c r="E3" s="4">
        <v>2</v>
      </c>
      <c r="F3" s="4" t="str">
        <f t="shared" ref="F3:F11" si="0">_xlfn.XLOOKUP(E3,$B$15:$D$15,$B$16:$D$16,"Entry-Level",-1)</f>
        <v>Entry-Level</v>
      </c>
      <c r="K3" s="2" t="s">
        <v>14</v>
      </c>
    </row>
    <row r="4" spans="1:13" x14ac:dyDescent="0.25">
      <c r="A4" s="4" t="s">
        <v>15</v>
      </c>
      <c r="B4" s="4" t="s">
        <v>16</v>
      </c>
      <c r="C4" s="4" t="s">
        <v>17</v>
      </c>
      <c r="D4" s="4" t="s">
        <v>18</v>
      </c>
      <c r="E4" s="4">
        <v>6</v>
      </c>
      <c r="F4" s="4" t="str">
        <f t="shared" si="0"/>
        <v>Mid-level</v>
      </c>
      <c r="J4" s="2" t="s">
        <v>3</v>
      </c>
      <c r="K4" s="2" t="s">
        <v>19</v>
      </c>
      <c r="L4" s="2" t="s">
        <v>20</v>
      </c>
      <c r="M4" s="2" t="s">
        <v>21</v>
      </c>
    </row>
    <row r="5" spans="1:13" x14ac:dyDescent="0.25">
      <c r="A5" s="4" t="s">
        <v>22</v>
      </c>
      <c r="B5" s="4" t="s">
        <v>23</v>
      </c>
      <c r="C5" s="4" t="s">
        <v>8</v>
      </c>
      <c r="D5" s="4" t="s">
        <v>24</v>
      </c>
      <c r="E5" s="4">
        <v>3</v>
      </c>
      <c r="F5" s="4" t="str">
        <f t="shared" si="0"/>
        <v>Junior</v>
      </c>
      <c r="J5" s="3" t="s">
        <v>25</v>
      </c>
      <c r="K5" s="4" t="str">
        <f>_xlfn.XLOOKUP(J5,$D$2:$D$11,$B$2:$B$11,"Not Found",0)</f>
        <v>Shruti Iyer</v>
      </c>
      <c r="L5" s="4">
        <f>MATCH(K5,$B$2:$B$11,0)</f>
        <v>6</v>
      </c>
      <c r="M5" s="5" t="str">
        <f>INDEX($C$2:$C$11,MATCH(K5,$B$2:$B$11,0))</f>
        <v>Evening</v>
      </c>
    </row>
    <row r="6" spans="1:13" x14ac:dyDescent="0.25">
      <c r="A6" s="4" t="s">
        <v>27</v>
      </c>
      <c r="B6" s="4" t="s">
        <v>28</v>
      </c>
      <c r="C6" s="4" t="s">
        <v>12</v>
      </c>
      <c r="D6" s="4" t="s">
        <v>29</v>
      </c>
      <c r="E6" s="4">
        <v>14</v>
      </c>
      <c r="F6" s="4" t="str">
        <f t="shared" si="0"/>
        <v>Senior</v>
      </c>
      <c r="J6" s="3" t="s">
        <v>29</v>
      </c>
      <c r="K6" s="4" t="str">
        <f t="shared" ref="K6:K11" si="1">_xlfn.XLOOKUP(J6,$D$2:$D$11,$B$2:$B$11,"Not Found",0)</f>
        <v>Manish Kumar</v>
      </c>
      <c r="L6" s="4">
        <f t="shared" ref="L6:L11" si="2">MATCH(K6,$B$2:$B$11,0)</f>
        <v>5</v>
      </c>
      <c r="M6" s="5" t="str">
        <f t="shared" ref="M6:M10" si="3">INDEX($C$2:$C$11,MATCH(K6,$B$2:$B$11,0))</f>
        <v>Night</v>
      </c>
    </row>
    <row r="7" spans="1:13" x14ac:dyDescent="0.25">
      <c r="A7" s="4" t="s">
        <v>30</v>
      </c>
      <c r="B7" s="4" t="s">
        <v>26</v>
      </c>
      <c r="C7" s="4" t="s">
        <v>17</v>
      </c>
      <c r="D7" s="4" t="s">
        <v>25</v>
      </c>
      <c r="E7" s="4">
        <v>7</v>
      </c>
      <c r="F7" s="4" t="str">
        <f t="shared" si="0"/>
        <v>Mid-level</v>
      </c>
      <c r="J7" s="3" t="s">
        <v>18</v>
      </c>
      <c r="K7" s="4" t="str">
        <f t="shared" si="1"/>
        <v>Rohan Sharma</v>
      </c>
      <c r="L7" s="4">
        <f t="shared" si="2"/>
        <v>3</v>
      </c>
      <c r="M7" s="5" t="str">
        <f t="shared" si="3"/>
        <v>Evening</v>
      </c>
    </row>
    <row r="8" spans="1:13" x14ac:dyDescent="0.25">
      <c r="A8" s="4" t="s">
        <v>31</v>
      </c>
      <c r="B8" s="4" t="s">
        <v>32</v>
      </c>
      <c r="C8" s="4" t="s">
        <v>8</v>
      </c>
      <c r="D8" s="4" t="s">
        <v>33</v>
      </c>
      <c r="E8" s="4">
        <v>1</v>
      </c>
      <c r="F8" s="4" t="str">
        <f t="shared" si="0"/>
        <v>Entry-Level</v>
      </c>
      <c r="G8" s="6"/>
      <c r="J8" s="3" t="s">
        <v>34</v>
      </c>
      <c r="K8" s="4" t="str">
        <f t="shared" si="1"/>
        <v>Ravi Kumar</v>
      </c>
      <c r="L8" s="4">
        <f t="shared" si="2"/>
        <v>9</v>
      </c>
      <c r="M8" s="5" t="str">
        <f t="shared" si="3"/>
        <v>Evening</v>
      </c>
    </row>
    <row r="9" spans="1:13" x14ac:dyDescent="0.25">
      <c r="A9" s="4" t="s">
        <v>35</v>
      </c>
      <c r="B9" s="4" t="s">
        <v>36</v>
      </c>
      <c r="C9" s="4" t="s">
        <v>12</v>
      </c>
      <c r="D9" s="4" t="s">
        <v>37</v>
      </c>
      <c r="E9" s="4">
        <v>8</v>
      </c>
      <c r="F9" s="4" t="str">
        <f t="shared" si="0"/>
        <v>Mid-level</v>
      </c>
      <c r="J9" s="3" t="s">
        <v>13</v>
      </c>
      <c r="K9" s="4" t="str">
        <f t="shared" si="1"/>
        <v>Ramya Reddy</v>
      </c>
      <c r="L9" s="4">
        <f t="shared" si="2"/>
        <v>2</v>
      </c>
      <c r="M9" s="5" t="str">
        <f t="shared" si="3"/>
        <v>Night</v>
      </c>
    </row>
    <row r="10" spans="1:13" x14ac:dyDescent="0.25">
      <c r="A10" s="4" t="s">
        <v>38</v>
      </c>
      <c r="B10" s="4" t="s">
        <v>39</v>
      </c>
      <c r="C10" s="4" t="s">
        <v>17</v>
      </c>
      <c r="D10" s="4" t="s">
        <v>34</v>
      </c>
      <c r="E10" s="4">
        <v>10</v>
      </c>
      <c r="F10" s="4" t="str">
        <f t="shared" si="0"/>
        <v>Senior</v>
      </c>
      <c r="J10" s="3" t="s">
        <v>33</v>
      </c>
      <c r="K10" s="4" t="str">
        <f t="shared" si="1"/>
        <v>Jai Singh</v>
      </c>
      <c r="L10" s="4">
        <f t="shared" si="2"/>
        <v>7</v>
      </c>
      <c r="M10" s="5" t="str">
        <f t="shared" si="3"/>
        <v>Morning</v>
      </c>
    </row>
    <row r="11" spans="1:13" x14ac:dyDescent="0.25">
      <c r="A11" s="4" t="s">
        <v>40</v>
      </c>
      <c r="B11" s="4" t="s">
        <v>41</v>
      </c>
      <c r="C11" s="4" t="s">
        <v>8</v>
      </c>
      <c r="D11" s="4" t="s">
        <v>42</v>
      </c>
      <c r="E11" s="4">
        <v>9</v>
      </c>
      <c r="F11" s="4" t="str">
        <f t="shared" si="0"/>
        <v>Mid-level</v>
      </c>
      <c r="J11" s="7"/>
      <c r="K11" s="1"/>
      <c r="M11" s="9"/>
    </row>
    <row r="12" spans="1:13" x14ac:dyDescent="0.25">
      <c r="K12" s="1"/>
      <c r="M12" s="1"/>
    </row>
    <row r="13" spans="1:13" x14ac:dyDescent="0.25">
      <c r="K13" s="1"/>
    </row>
    <row r="14" spans="1:13" x14ac:dyDescent="0.25">
      <c r="K14" s="1"/>
    </row>
    <row r="15" spans="1:13" x14ac:dyDescent="0.25">
      <c r="A15" s="8" t="s">
        <v>43</v>
      </c>
      <c r="B15" s="4">
        <v>3</v>
      </c>
      <c r="C15" s="4">
        <v>6</v>
      </c>
      <c r="D15" s="4">
        <v>10</v>
      </c>
      <c r="F15" s="8" t="s">
        <v>44</v>
      </c>
      <c r="G15" s="4" t="str">
        <f>INDEX($C$2:$C$11,MODE(MATCH($C$2:$C$11,$C$2:$C$11,0)))</f>
        <v>Morning</v>
      </c>
    </row>
    <row r="16" spans="1:13" x14ac:dyDescent="0.25">
      <c r="A16" s="8" t="s">
        <v>5</v>
      </c>
      <c r="B16" s="4" t="s">
        <v>45</v>
      </c>
      <c r="C16" s="4" t="s">
        <v>46</v>
      </c>
      <c r="D16" s="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2026-04-10T06:19:29Z</dcterms:created>
  <dcterms:modified xsi:type="dcterms:W3CDTF">2026-04-13T10:50:51Z</dcterms:modified>
</cp:coreProperties>
</file>