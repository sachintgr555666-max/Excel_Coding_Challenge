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firstSheet="5" activeTab="11"/>
  </bookViews>
  <sheets>
    <sheet name="SUM" sheetId="1" r:id="rId1"/>
    <sheet name="MIN &amp; MAX" sheetId="2" r:id="rId2"/>
    <sheet name="COUNT" sheetId="3" r:id="rId3"/>
    <sheet name="COUNTA FUNCTION" sheetId="4" r:id="rId4"/>
    <sheet name="AVERAGE" sheetId="5" r:id="rId5"/>
    <sheet name=" " sheetId="6" r:id="rId6"/>
    <sheet name="MULTIPLE" sheetId="7" r:id="rId7"/>
    <sheet name="IF FUNTION" sheetId="8" r:id="rId8"/>
    <sheet name="NESTING IF" sheetId="9" r:id="rId9"/>
    <sheet name="SUM IF,AVERAFE IF,COUNT IF" sheetId="10" r:id="rId10"/>
    <sheet name="LEFT,RIGHT,MID " sheetId="11" r:id="rId11"/>
    <sheet name="UPPER,LOWER,PROPER" sheetId="12" r:id="rId12"/>
  </sheets>
  <calcPr calcId="145621"/>
</workbook>
</file>

<file path=xl/calcChain.xml><?xml version="1.0" encoding="utf-8"?>
<calcChain xmlns="http://schemas.openxmlformats.org/spreadsheetml/2006/main">
  <c r="K3" i="12" l="1"/>
  <c r="K4" i="12"/>
  <c r="K5" i="12"/>
  <c r="K6" i="12"/>
  <c r="K2" i="12"/>
  <c r="G3" i="12"/>
  <c r="G4" i="12"/>
  <c r="G5" i="12"/>
  <c r="G6" i="12"/>
  <c r="G2" i="12"/>
  <c r="C3" i="12"/>
  <c r="C4" i="12"/>
  <c r="C5" i="12"/>
  <c r="C6" i="12"/>
  <c r="E3" i="11"/>
  <c r="E4" i="11"/>
  <c r="E5" i="11"/>
  <c r="E6" i="11"/>
  <c r="E2" i="11"/>
  <c r="D3" i="11"/>
  <c r="D4" i="11"/>
  <c r="D5" i="11"/>
  <c r="D6" i="11"/>
  <c r="D2" i="11"/>
  <c r="C3" i="11"/>
  <c r="C4" i="11"/>
  <c r="C5" i="11"/>
  <c r="C6" i="11"/>
  <c r="C2" i="11"/>
  <c r="G7" i="10"/>
  <c r="G5" i="10"/>
  <c r="G3" i="10"/>
  <c r="C3" i="9"/>
  <c r="C4" i="9"/>
  <c r="C5" i="9"/>
  <c r="C6" i="9"/>
  <c r="C2" i="9"/>
  <c r="C3" i="8"/>
  <c r="C4" i="8"/>
  <c r="C5" i="8"/>
  <c r="C6" i="8"/>
  <c r="C2" i="8"/>
  <c r="D4" i="7"/>
  <c r="D5" i="7"/>
  <c r="D3" i="7"/>
  <c r="D2" i="7"/>
  <c r="B7" i="5"/>
  <c r="F10" i="4"/>
  <c r="F8" i="4"/>
  <c r="B11" i="3"/>
  <c r="A3" i="2"/>
  <c r="A4" i="2"/>
  <c r="A5" i="2" s="1"/>
  <c r="A6" i="2" s="1"/>
  <c r="A7" i="2" s="1"/>
  <c r="A8" i="2" s="1"/>
  <c r="A9" i="2" s="1"/>
  <c r="A10" i="2" s="1"/>
  <c r="A3" i="3"/>
  <c r="A4" i="3" s="1"/>
  <c r="A5" i="3" s="1"/>
  <c r="A6" i="3" s="1"/>
  <c r="A7" i="3" s="1"/>
  <c r="A8" i="3" s="1"/>
  <c r="A9" i="3" s="1"/>
  <c r="A10" i="3" s="1"/>
  <c r="B11" i="2"/>
  <c r="B12" i="2" s="1"/>
  <c r="B11" i="1"/>
  <c r="A4" i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<sst xmlns="http://schemas.openxmlformats.org/spreadsheetml/2006/main" count="126" uniqueCount="74">
  <si>
    <t>Order ID</t>
  </si>
  <si>
    <t>Sales</t>
  </si>
  <si>
    <t>TOTAL SALES</t>
  </si>
  <si>
    <t>MIN</t>
  </si>
  <si>
    <t>MAX</t>
  </si>
  <si>
    <t>PRODUCT</t>
  </si>
  <si>
    <t>PROFIT</t>
  </si>
  <si>
    <t>Saree</t>
  </si>
  <si>
    <t>Skirt</t>
  </si>
  <si>
    <t>Pant</t>
  </si>
  <si>
    <t>Shirt</t>
  </si>
  <si>
    <t>PRODUCT COUNT</t>
  </si>
  <si>
    <t>SALES PROFIT</t>
  </si>
  <si>
    <t>SUBJECT</t>
  </si>
  <si>
    <t>MARK</t>
  </si>
  <si>
    <t>TAMIL</t>
  </si>
  <si>
    <t>ENGLISH</t>
  </si>
  <si>
    <t>MATHS</t>
  </si>
  <si>
    <t>SCIENCE</t>
  </si>
  <si>
    <t>SOCIAL SCIENCE</t>
  </si>
  <si>
    <t>AVERAGE MARK</t>
  </si>
  <si>
    <t>QUANTITE</t>
  </si>
  <si>
    <t>TOTAL PROFIT</t>
  </si>
  <si>
    <t>RESULT</t>
  </si>
  <si>
    <t>GRADE</t>
  </si>
  <si>
    <t xml:space="preserve"> </t>
  </si>
  <si>
    <t>SALES</t>
  </si>
  <si>
    <t>Apple</t>
  </si>
  <si>
    <t>Orange</t>
  </si>
  <si>
    <t>Banana</t>
  </si>
  <si>
    <t>Total Apple Sales =</t>
  </si>
  <si>
    <t xml:space="preserve">Average Orange Sales =  </t>
  </si>
  <si>
    <t xml:space="preserve">Banana Count  = </t>
  </si>
  <si>
    <t>PRODUCT ID</t>
  </si>
  <si>
    <t>PRODUCT NAME</t>
  </si>
  <si>
    <t>PRODUCT CODE</t>
  </si>
  <si>
    <t>27-2023-IN</t>
  </si>
  <si>
    <t>15-2024-US</t>
  </si>
  <si>
    <t>29-2020-CN</t>
  </si>
  <si>
    <t>19-2018-AU</t>
  </si>
  <si>
    <t>22-2021--UK</t>
  </si>
  <si>
    <t>Laptop</t>
  </si>
  <si>
    <t>Smartphone</t>
  </si>
  <si>
    <t>Headphone</t>
  </si>
  <si>
    <t>Powerbank</t>
  </si>
  <si>
    <t>Charger</t>
  </si>
  <si>
    <t>COUNTRY CODE</t>
  </si>
  <si>
    <t>LEFT FUNCTION</t>
  </si>
  <si>
    <t>RIGHT FUNCTION</t>
  </si>
  <si>
    <t>MID FUNCTION</t>
  </si>
  <si>
    <t>MODEL YEAR</t>
  </si>
  <si>
    <t>Name</t>
  </si>
  <si>
    <t>Username</t>
  </si>
  <si>
    <t>UPPER CASE</t>
  </si>
  <si>
    <t>Sachin</t>
  </si>
  <si>
    <t>Ranjith</t>
  </si>
  <si>
    <t>Arul</t>
  </si>
  <si>
    <t>Nishanth</t>
  </si>
  <si>
    <t>Sakthi Sri</t>
  </si>
  <si>
    <t>Sachu</t>
  </si>
  <si>
    <t>Mst</t>
  </si>
  <si>
    <t>Arulkumaran</t>
  </si>
  <si>
    <t>Nisha</t>
  </si>
  <si>
    <t>Sakthi</t>
  </si>
  <si>
    <t>SACHIN</t>
  </si>
  <si>
    <t>lower case</t>
  </si>
  <si>
    <t>Proper Case</t>
  </si>
  <si>
    <t>LOWER CASE</t>
  </si>
  <si>
    <t>PROPER CASE</t>
  </si>
  <si>
    <t>sachin</t>
  </si>
  <si>
    <t>ranjith</t>
  </si>
  <si>
    <t>nishanth</t>
  </si>
  <si>
    <t>sakthi sri</t>
  </si>
  <si>
    <t>arul kumaran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</si>
</sst>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7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33" customWidth="1"/>
    <col min="2" max="2" width="33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>
        <v>109322</v>
      </c>
      <c r="B2" s="4">
        <v>500</v>
      </c>
    </row>
    <row r="3" spans="1:2" x14ac:dyDescent="0.25">
      <c r="A3" s="4">
        <f>A2+1</f>
        <v>109323</v>
      </c>
      <c r="B3" s="4">
        <v>786</v>
      </c>
    </row>
    <row r="4" spans="1:2" x14ac:dyDescent="0.25">
      <c r="A4" s="4">
        <f t="shared" ref="A4:A10" si="0">A3+1</f>
        <v>109324</v>
      </c>
      <c r="B4" s="4">
        <v>536</v>
      </c>
    </row>
    <row r="5" spans="1:2" x14ac:dyDescent="0.25">
      <c r="A5" s="4">
        <f t="shared" si="0"/>
        <v>109325</v>
      </c>
      <c r="B5" s="4">
        <v>859</v>
      </c>
    </row>
    <row r="6" spans="1:2" x14ac:dyDescent="0.25">
      <c r="A6" s="4">
        <f t="shared" si="0"/>
        <v>109326</v>
      </c>
      <c r="B6" s="4">
        <v>365</v>
      </c>
    </row>
    <row r="7" spans="1:2" x14ac:dyDescent="0.25">
      <c r="A7" s="4">
        <f t="shared" si="0"/>
        <v>109327</v>
      </c>
      <c r="B7" s="4">
        <v>959</v>
      </c>
    </row>
    <row r="8" spans="1:2" x14ac:dyDescent="0.25">
      <c r="A8" s="4">
        <f t="shared" si="0"/>
        <v>109328</v>
      </c>
      <c r="B8" s="4">
        <v>478</v>
      </c>
    </row>
    <row r="9" spans="1:2" x14ac:dyDescent="0.25">
      <c r="A9" s="4">
        <f t="shared" si="0"/>
        <v>109329</v>
      </c>
      <c r="B9" s="4">
        <v>368</v>
      </c>
    </row>
    <row r="10" spans="1:2" x14ac:dyDescent="0.25">
      <c r="A10" s="4">
        <f t="shared" si="0"/>
        <v>109330</v>
      </c>
      <c r="B10" s="4">
        <v>378</v>
      </c>
    </row>
    <row r="11" spans="1:2" x14ac:dyDescent="0.25">
      <c r="A11" s="6" t="s">
        <v>2</v>
      </c>
      <c r="B11" s="4">
        <f>SUM(B2:B10)</f>
        <v>5229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6" sqref="D6"/>
    </sheetView>
  </sheetViews>
  <sheetFormatPr defaultRowHeight="15" x14ac:dyDescent="0.25"/>
  <cols>
    <col min="1" max="1" width="24" customWidth="1"/>
    <col min="2" max="2" width="22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>
        <v>109322</v>
      </c>
      <c r="B2" s="4">
        <v>500</v>
      </c>
    </row>
    <row r="3" spans="1:2" x14ac:dyDescent="0.25">
      <c r="A3" s="4">
        <f>A2+1</f>
        <v>109323</v>
      </c>
      <c r="B3" s="4">
        <v>786</v>
      </c>
    </row>
    <row r="4" spans="1:2" x14ac:dyDescent="0.25">
      <c r="A4" s="4">
        <f t="shared" ref="A4:A10" si="0">A3+1</f>
        <v>109324</v>
      </c>
      <c r="B4" s="4">
        <v>536</v>
      </c>
    </row>
    <row r="5" spans="1:2" x14ac:dyDescent="0.25">
      <c r="A5" s="4">
        <f t="shared" si="0"/>
        <v>109325</v>
      </c>
      <c r="B5" s="4">
        <v>859</v>
      </c>
    </row>
    <row r="6" spans="1:2" x14ac:dyDescent="0.25">
      <c r="A6" s="4">
        <f t="shared" si="0"/>
        <v>109326</v>
      </c>
      <c r="B6" s="4">
        <v>365</v>
      </c>
    </row>
    <row r="7" spans="1:2" x14ac:dyDescent="0.25">
      <c r="A7" s="4">
        <f t="shared" si="0"/>
        <v>109327</v>
      </c>
      <c r="B7" s="4">
        <v>365</v>
      </c>
    </row>
    <row r="8" spans="1:2" x14ac:dyDescent="0.25">
      <c r="A8" s="4">
        <f t="shared" si="0"/>
        <v>109328</v>
      </c>
      <c r="B8" s="4">
        <v>478</v>
      </c>
    </row>
    <row r="9" spans="1:2" x14ac:dyDescent="0.25">
      <c r="A9" s="4">
        <f t="shared" si="0"/>
        <v>109329</v>
      </c>
      <c r="B9" s="4">
        <v>368</v>
      </c>
    </row>
    <row r="10" spans="1:2" ht="15.75" thickBot="1" x14ac:dyDescent="0.3">
      <c r="A10" s="7">
        <f t="shared" si="0"/>
        <v>109330</v>
      </c>
      <c r="B10" s="7">
        <v>378</v>
      </c>
    </row>
    <row r="11" spans="1:2" ht="16.5" thickTop="1" thickBot="1" x14ac:dyDescent="0.3">
      <c r="A11" s="9" t="s">
        <v>3</v>
      </c>
      <c r="B11" s="8">
        <f>MIN(B2:B10)</f>
        <v>365</v>
      </c>
    </row>
    <row r="12" spans="1:2" ht="16.5" thickTop="1" thickBot="1" x14ac:dyDescent="0.3">
      <c r="A12" s="9" t="s">
        <v>4</v>
      </c>
      <c r="B12" s="8">
        <f>MAX(B2:B11)</f>
        <v>859</v>
      </c>
    </row>
    <row r="13" spans="1:2" ht="15.75" thickTop="1" x14ac:dyDescent="0.25">
      <c r="B1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7" sqref="E7"/>
    </sheetView>
  </sheetViews>
  <sheetFormatPr defaultRowHeight="15" x14ac:dyDescent="0.25"/>
  <cols>
    <col min="1" max="1" width="20.7109375" customWidth="1"/>
    <col min="2" max="2" width="24.855468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>
        <v>109322</v>
      </c>
      <c r="B2" s="4">
        <v>500</v>
      </c>
    </row>
    <row r="3" spans="1:2" x14ac:dyDescent="0.25">
      <c r="A3" s="4">
        <f>A2+1</f>
        <v>109323</v>
      </c>
      <c r="B3" s="4">
        <v>786</v>
      </c>
    </row>
    <row r="4" spans="1:2" x14ac:dyDescent="0.25">
      <c r="A4" s="4">
        <f t="shared" ref="A4:A10" si="0">A3+1</f>
        <v>109324</v>
      </c>
      <c r="B4" s="4">
        <v>536</v>
      </c>
    </row>
    <row r="5" spans="1:2" x14ac:dyDescent="0.25">
      <c r="A5" s="4">
        <f t="shared" si="0"/>
        <v>109325</v>
      </c>
      <c r="B5" s="4">
        <v>859</v>
      </c>
    </row>
    <row r="6" spans="1:2" x14ac:dyDescent="0.25">
      <c r="A6" s="4">
        <f t="shared" si="0"/>
        <v>109326</v>
      </c>
      <c r="B6" s="4">
        <v>365</v>
      </c>
    </row>
    <row r="7" spans="1:2" x14ac:dyDescent="0.25">
      <c r="A7" s="4">
        <f t="shared" si="0"/>
        <v>109327</v>
      </c>
      <c r="B7" s="4">
        <v>959</v>
      </c>
    </row>
    <row r="8" spans="1:2" x14ac:dyDescent="0.25">
      <c r="A8" s="4">
        <f t="shared" si="0"/>
        <v>109328</v>
      </c>
      <c r="B8" s="4">
        <v>478</v>
      </c>
    </row>
    <row r="9" spans="1:2" x14ac:dyDescent="0.25">
      <c r="A9" s="4">
        <f t="shared" si="0"/>
        <v>109329</v>
      </c>
      <c r="B9" s="4">
        <v>368</v>
      </c>
    </row>
    <row r="10" spans="1:2" ht="15.75" thickBot="1" x14ac:dyDescent="0.3">
      <c r="A10" s="7">
        <f t="shared" si="0"/>
        <v>109330</v>
      </c>
      <c r="B10" s="7">
        <v>378</v>
      </c>
    </row>
    <row r="11" spans="1:2" ht="16.5" thickTop="1" thickBot="1" x14ac:dyDescent="0.3">
      <c r="A11" s="10" t="s">
        <v>2</v>
      </c>
      <c r="B11" s="11">
        <f>COUNT(B1:B10)</f>
        <v>9</v>
      </c>
    </row>
    <row r="12" spans="1:2" ht="15.75" thickTop="1" x14ac:dyDescent="0.25">
      <c r="B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B5"/>
    </sheetView>
  </sheetViews>
  <sheetFormatPr defaultRowHeight="15" x14ac:dyDescent="0.25"/>
  <cols>
    <col min="1" max="1" width="20.140625" customWidth="1"/>
    <col min="2" max="2" width="18" customWidth="1"/>
  </cols>
  <sheetData>
    <row r="1" spans="1:6" ht="15.75" thickBot="1" x14ac:dyDescent="0.3">
      <c r="A1" s="12" t="s">
        <v>5</v>
      </c>
      <c r="B1" s="12" t="s">
        <v>6</v>
      </c>
    </row>
    <row r="2" spans="1:6" ht="15.75" thickBot="1" x14ac:dyDescent="0.3">
      <c r="A2" s="13" t="s">
        <v>7</v>
      </c>
      <c r="B2" s="13">
        <v>500</v>
      </c>
    </row>
    <row r="3" spans="1:6" ht="15.75" thickBot="1" x14ac:dyDescent="0.3">
      <c r="A3" s="13" t="s">
        <v>10</v>
      </c>
      <c r="B3" s="13">
        <v>380</v>
      </c>
    </row>
    <row r="4" spans="1:6" ht="15.75" thickBot="1" x14ac:dyDescent="0.3">
      <c r="A4" s="13" t="s">
        <v>9</v>
      </c>
      <c r="B4" s="13">
        <v>560</v>
      </c>
    </row>
    <row r="5" spans="1:6" ht="15.75" thickBot="1" x14ac:dyDescent="0.3">
      <c r="A5" s="13" t="s">
        <v>8</v>
      </c>
      <c r="B5" s="13">
        <v>350</v>
      </c>
    </row>
    <row r="7" spans="1:6" ht="15.75" thickBot="1" x14ac:dyDescent="0.3"/>
    <row r="8" spans="1:6" ht="15.75" thickBot="1" x14ac:dyDescent="0.3">
      <c r="D8" s="14" t="s">
        <v>11</v>
      </c>
      <c r="E8" s="15"/>
      <c r="F8" s="15">
        <f>COUNTA(A2:A5)</f>
        <v>4</v>
      </c>
    </row>
    <row r="9" spans="1:6" ht="15.75" thickBot="1" x14ac:dyDescent="0.3"/>
    <row r="10" spans="1:6" ht="15.75" thickBot="1" x14ac:dyDescent="0.3">
      <c r="D10" s="14" t="s">
        <v>12</v>
      </c>
      <c r="E10" s="15"/>
      <c r="F10" s="15">
        <f>COUNTA(B2:B5)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15" zoomScaleNormal="115" workbookViewId="0">
      <selection activeCell="D8" sqref="D8"/>
    </sheetView>
  </sheetViews>
  <sheetFormatPr defaultRowHeight="15" x14ac:dyDescent="0.25"/>
  <cols>
    <col min="1" max="1" width="16.7109375" customWidth="1"/>
    <col min="2" max="2" width="17.42578125" customWidth="1"/>
  </cols>
  <sheetData>
    <row r="1" spans="1:2" ht="15.75" thickBot="1" x14ac:dyDescent="0.3">
      <c r="A1" s="16" t="s">
        <v>13</v>
      </c>
      <c r="B1" s="17" t="s">
        <v>14</v>
      </c>
    </row>
    <row r="2" spans="1:2" ht="15.75" thickBot="1" x14ac:dyDescent="0.3">
      <c r="A2" s="13" t="s">
        <v>15</v>
      </c>
      <c r="B2" s="13">
        <v>84</v>
      </c>
    </row>
    <row r="3" spans="1:2" ht="15.75" thickBot="1" x14ac:dyDescent="0.3">
      <c r="A3" s="13" t="s">
        <v>16</v>
      </c>
      <c r="B3" s="13">
        <v>58</v>
      </c>
    </row>
    <row r="4" spans="1:2" ht="15.75" thickBot="1" x14ac:dyDescent="0.3">
      <c r="A4" s="13" t="s">
        <v>17</v>
      </c>
      <c r="B4" s="13">
        <v>68</v>
      </c>
    </row>
    <row r="5" spans="1:2" ht="15.75" thickBot="1" x14ac:dyDescent="0.3">
      <c r="A5" s="13" t="s">
        <v>18</v>
      </c>
      <c r="B5" s="13">
        <v>68</v>
      </c>
    </row>
    <row r="6" spans="1:2" ht="15.75" thickBot="1" x14ac:dyDescent="0.3">
      <c r="A6" s="18" t="s">
        <v>19</v>
      </c>
      <c r="B6" s="18">
        <v>88</v>
      </c>
    </row>
    <row r="7" spans="1:2" ht="20.25" customHeight="1" thickTop="1" thickBot="1" x14ac:dyDescent="0.3">
      <c r="A7" s="19" t="s">
        <v>20</v>
      </c>
      <c r="B7" s="11">
        <f>AVERAGE(B2:B6)</f>
        <v>73.2</v>
      </c>
    </row>
    <row r="8" spans="1:2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5" sqref="G5"/>
    </sheetView>
  </sheetViews>
  <sheetFormatPr defaultRowHeight="15" x14ac:dyDescent="0.25"/>
  <cols>
    <col min="1" max="1" width="16.42578125" customWidth="1"/>
    <col min="2" max="2" width="16.28515625" customWidth="1"/>
    <col min="3" max="3" width="14.5703125" customWidth="1"/>
    <col min="4" max="4" width="15.5703125" customWidth="1"/>
  </cols>
  <sheetData>
    <row r="1" spans="1:4" ht="15.75" thickBot="1" x14ac:dyDescent="0.3">
      <c r="A1" s="12" t="s">
        <v>5</v>
      </c>
      <c r="B1" s="12" t="s">
        <v>6</v>
      </c>
      <c r="C1" s="12" t="s">
        <v>21</v>
      </c>
      <c r="D1" s="12" t="s">
        <v>22</v>
      </c>
    </row>
    <row r="2" spans="1:4" ht="15.75" thickBot="1" x14ac:dyDescent="0.3">
      <c r="A2" s="13" t="s">
        <v>7</v>
      </c>
      <c r="B2" s="13">
        <v>500</v>
      </c>
      <c r="C2" s="13">
        <v>3</v>
      </c>
      <c r="D2" s="13">
        <f>B2*C2</f>
        <v>1500</v>
      </c>
    </row>
    <row r="3" spans="1:4" ht="15.75" thickBot="1" x14ac:dyDescent="0.3">
      <c r="A3" s="13" t="s">
        <v>10</v>
      </c>
      <c r="B3" s="13">
        <v>380</v>
      </c>
      <c r="C3" s="13">
        <v>6</v>
      </c>
      <c r="D3" s="13">
        <f>B3*C3</f>
        <v>2280</v>
      </c>
    </row>
    <row r="4" spans="1:4" ht="15.75" thickBot="1" x14ac:dyDescent="0.3">
      <c r="A4" s="13" t="s">
        <v>9</v>
      </c>
      <c r="B4" s="13">
        <v>560</v>
      </c>
      <c r="C4" s="13">
        <v>7</v>
      </c>
      <c r="D4" s="13">
        <f>B4*C4</f>
        <v>3920</v>
      </c>
    </row>
    <row r="5" spans="1:4" ht="15.75" thickBot="1" x14ac:dyDescent="0.3">
      <c r="A5" s="13" t="s">
        <v>8</v>
      </c>
      <c r="B5" s="13">
        <v>350</v>
      </c>
      <c r="C5" s="13">
        <v>9</v>
      </c>
      <c r="D5" s="13">
        <f>B5*C5</f>
        <v>3150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B6"/>
    </sheetView>
  </sheetViews>
  <sheetFormatPr defaultRowHeight="15" x14ac:dyDescent="0.25"/>
  <cols>
    <col min="1" max="1" width="17.140625" customWidth="1"/>
    <col min="2" max="2" width="16" customWidth="1"/>
    <col min="3" max="3" width="11.5703125" customWidth="1"/>
  </cols>
  <sheetData>
    <row r="1" spans="1:3" ht="16.5" thickTop="1" thickBot="1" x14ac:dyDescent="0.3">
      <c r="A1" s="20" t="s">
        <v>13</v>
      </c>
      <c r="B1" s="21" t="s">
        <v>14</v>
      </c>
      <c r="C1" s="21" t="s">
        <v>23</v>
      </c>
    </row>
    <row r="2" spans="1:3" ht="16.5" thickTop="1" thickBot="1" x14ac:dyDescent="0.3">
      <c r="A2" s="11" t="s">
        <v>15</v>
      </c>
      <c r="B2" s="11">
        <v>84</v>
      </c>
      <c r="C2" s="11" t="str">
        <f>IF(B2&gt;35,"PASS","FAIL")</f>
        <v>PASS</v>
      </c>
    </row>
    <row r="3" spans="1:3" ht="16.5" thickTop="1" thickBot="1" x14ac:dyDescent="0.3">
      <c r="A3" s="11" t="s">
        <v>16</v>
      </c>
      <c r="B3" s="11">
        <v>58</v>
      </c>
      <c r="C3" s="11" t="str">
        <f t="shared" ref="C3:C6" si="0">IF(B3&gt;35,"PASS","FAIL")</f>
        <v>PASS</v>
      </c>
    </row>
    <row r="4" spans="1:3" ht="16.5" thickTop="1" thickBot="1" x14ac:dyDescent="0.3">
      <c r="A4" s="11" t="s">
        <v>17</v>
      </c>
      <c r="B4" s="11">
        <v>68</v>
      </c>
      <c r="C4" s="11" t="str">
        <f t="shared" si="0"/>
        <v>PASS</v>
      </c>
    </row>
    <row r="5" spans="1:3" ht="16.5" thickTop="1" thickBot="1" x14ac:dyDescent="0.3">
      <c r="A5" s="11" t="s">
        <v>18</v>
      </c>
      <c r="B5" s="11">
        <v>68</v>
      </c>
      <c r="C5" s="11" t="str">
        <f t="shared" si="0"/>
        <v>PASS</v>
      </c>
    </row>
    <row r="6" spans="1:3" ht="16.5" thickTop="1" thickBot="1" x14ac:dyDescent="0.3">
      <c r="A6" s="11" t="s">
        <v>19</v>
      </c>
      <c r="B6" s="11">
        <v>88</v>
      </c>
      <c r="C6" s="11" t="str">
        <f t="shared" si="0"/>
        <v>PASS</v>
      </c>
    </row>
    <row r="7" spans="1:3" ht="15.75" thickTop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2" sqref="G12"/>
    </sheetView>
  </sheetViews>
  <sheetFormatPr defaultRowHeight="15" x14ac:dyDescent="0.25"/>
  <cols>
    <col min="1" max="1" width="17.85546875" customWidth="1"/>
    <col min="2" max="2" width="14.42578125" customWidth="1"/>
  </cols>
  <sheetData>
    <row r="1" spans="1:5" ht="16.5" thickTop="1" thickBot="1" x14ac:dyDescent="0.3">
      <c r="A1" s="20" t="s">
        <v>13</v>
      </c>
      <c r="B1" s="21" t="s">
        <v>14</v>
      </c>
      <c r="C1" s="21" t="s">
        <v>24</v>
      </c>
    </row>
    <row r="2" spans="1:5" ht="16.5" thickTop="1" thickBot="1" x14ac:dyDescent="0.3">
      <c r="A2" s="11" t="s">
        <v>15</v>
      </c>
      <c r="B2" s="11">
        <v>84</v>
      </c>
      <c r="C2" s="11" t="str">
        <f>IF(B2&gt;80,"GOOD",IF(B2&gt;60,"AVERAGE","LOW"))</f>
        <v>GOOD</v>
      </c>
    </row>
    <row r="3" spans="1:5" ht="16.5" thickTop="1" thickBot="1" x14ac:dyDescent="0.3">
      <c r="A3" s="11" t="s">
        <v>16</v>
      </c>
      <c r="B3" s="11">
        <v>58</v>
      </c>
      <c r="C3" s="11" t="str">
        <f t="shared" ref="C3:C6" si="0">IF(B3&gt;80,"GOOD",IF(B3&gt;60,"AVERAGE","LOW"))</f>
        <v>LOW</v>
      </c>
    </row>
    <row r="4" spans="1:5" ht="16.5" thickTop="1" thickBot="1" x14ac:dyDescent="0.3">
      <c r="A4" s="11" t="s">
        <v>17</v>
      </c>
      <c r="B4" s="11">
        <v>68</v>
      </c>
      <c r="C4" s="11" t="str">
        <f t="shared" si="0"/>
        <v>AVERAGE</v>
      </c>
    </row>
    <row r="5" spans="1:5" ht="16.5" thickTop="1" thickBot="1" x14ac:dyDescent="0.3">
      <c r="A5" s="11" t="s">
        <v>18</v>
      </c>
      <c r="B5" s="11">
        <v>68</v>
      </c>
      <c r="C5" s="11" t="str">
        <f t="shared" si="0"/>
        <v>AVERAGE</v>
      </c>
    </row>
    <row r="6" spans="1:5" ht="16.5" thickTop="1" thickBot="1" x14ac:dyDescent="0.3">
      <c r="A6" s="11" t="s">
        <v>19</v>
      </c>
      <c r="B6" s="11">
        <v>88</v>
      </c>
      <c r="C6" s="11" t="str">
        <f t="shared" si="0"/>
        <v>GOOD</v>
      </c>
      <c r="E6" t="s">
        <v>25</v>
      </c>
    </row>
    <row r="7" spans="1:5" ht="15.75" thickTop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K12" sqref="K12"/>
    </sheetView>
  </sheetViews>
  <sheetFormatPr defaultRowHeight="15" x14ac:dyDescent="0.25"/>
  <cols>
    <col min="1" max="1" width="16.42578125" customWidth="1"/>
    <col min="2" max="2" width="18.140625" customWidth="1"/>
  </cols>
  <sheetData>
    <row r="1" spans="1:7" ht="16.5" thickTop="1" thickBot="1" x14ac:dyDescent="0.3">
      <c r="A1" s="22" t="s">
        <v>5</v>
      </c>
      <c r="B1" s="22" t="s">
        <v>26</v>
      </c>
    </row>
    <row r="2" spans="1:7" ht="16.5" thickTop="1" thickBot="1" x14ac:dyDescent="0.3">
      <c r="A2" s="11" t="s">
        <v>27</v>
      </c>
      <c r="B2" s="11">
        <v>20</v>
      </c>
    </row>
    <row r="3" spans="1:7" ht="16.5" thickTop="1" thickBot="1" x14ac:dyDescent="0.3">
      <c r="A3" s="11" t="s">
        <v>28</v>
      </c>
      <c r="B3" s="11">
        <v>25</v>
      </c>
      <c r="E3" s="1" t="s">
        <v>30</v>
      </c>
      <c r="G3" s="11">
        <f>SUMIF(A2:A10,"Apple",B2:B10)</f>
        <v>122</v>
      </c>
    </row>
    <row r="4" spans="1:7" ht="16.5" thickTop="1" thickBot="1" x14ac:dyDescent="0.3">
      <c r="A4" s="11" t="s">
        <v>29</v>
      </c>
      <c r="B4" s="11">
        <v>45</v>
      </c>
    </row>
    <row r="5" spans="1:7" ht="16.5" thickTop="1" thickBot="1" x14ac:dyDescent="0.3">
      <c r="A5" s="11" t="s">
        <v>27</v>
      </c>
      <c r="B5" s="11">
        <v>35</v>
      </c>
      <c r="F5" s="23" t="s">
        <v>31</v>
      </c>
      <c r="G5" s="11">
        <f>AVERAGEIF(A2:A10,"Orange",B2:B10)</f>
        <v>49.333333333333336</v>
      </c>
    </row>
    <row r="6" spans="1:7" ht="16.5" thickTop="1" thickBot="1" x14ac:dyDescent="0.3">
      <c r="A6" s="11" t="s">
        <v>28</v>
      </c>
      <c r="B6" s="11">
        <v>80</v>
      </c>
    </row>
    <row r="7" spans="1:7" ht="16.5" thickTop="1" thickBot="1" x14ac:dyDescent="0.3">
      <c r="A7" s="11" t="s">
        <v>29</v>
      </c>
      <c r="B7" s="11">
        <v>43</v>
      </c>
      <c r="F7" s="23" t="s">
        <v>32</v>
      </c>
      <c r="G7" s="11">
        <f>COUNTIF(A2:A10,"Banana")</f>
        <v>3</v>
      </c>
    </row>
    <row r="8" spans="1:7" ht="16.5" thickTop="1" thickBot="1" x14ac:dyDescent="0.3">
      <c r="A8" s="11" t="s">
        <v>27</v>
      </c>
      <c r="B8" s="11">
        <v>67</v>
      </c>
    </row>
    <row r="9" spans="1:7" ht="16.5" thickTop="1" thickBot="1" x14ac:dyDescent="0.3">
      <c r="A9" s="11" t="s">
        <v>28</v>
      </c>
      <c r="B9" s="11">
        <v>43</v>
      </c>
    </row>
    <row r="10" spans="1:7" ht="16.5" thickTop="1" thickBot="1" x14ac:dyDescent="0.3">
      <c r="A10" s="11" t="s">
        <v>29</v>
      </c>
      <c r="B10" s="11">
        <v>23</v>
      </c>
    </row>
    <row r="11" spans="1:7" ht="15.75" thickTop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5" sqref="H5"/>
    </sheetView>
  </sheetViews>
  <sheetFormatPr defaultRowHeight="15" x14ac:dyDescent="0.25"/>
  <cols>
    <col min="1" max="1" width="15.85546875" customWidth="1"/>
    <col min="2" max="2" width="18.42578125" customWidth="1"/>
    <col min="3" max="3" width="17.140625" customWidth="1"/>
    <col min="4" max="4" width="16.42578125" bestFit="1" customWidth="1"/>
    <col min="5" max="5" width="14.7109375" bestFit="1" customWidth="1"/>
  </cols>
  <sheetData>
    <row r="1" spans="1:5" ht="16.5" thickTop="1" thickBot="1" x14ac:dyDescent="0.3">
      <c r="A1" s="24" t="s">
        <v>33</v>
      </c>
      <c r="B1" s="24" t="s">
        <v>34</v>
      </c>
      <c r="C1" s="24" t="s">
        <v>35</v>
      </c>
      <c r="D1" s="24" t="s">
        <v>46</v>
      </c>
      <c r="E1" s="24" t="s">
        <v>50</v>
      </c>
    </row>
    <row r="2" spans="1:5" ht="16.5" thickTop="1" thickBot="1" x14ac:dyDescent="0.3">
      <c r="A2" s="11" t="s">
        <v>36</v>
      </c>
      <c r="B2" s="11" t="s">
        <v>41</v>
      </c>
      <c r="C2" s="11" t="str">
        <f>LEFT(A2,2)</f>
        <v>27</v>
      </c>
      <c r="D2" s="11" t="str">
        <f>RIGHT(A2,2)</f>
        <v>IN</v>
      </c>
      <c r="E2" s="11" t="str">
        <f>MID(A2,4,4)</f>
        <v>2023</v>
      </c>
    </row>
    <row r="3" spans="1:5" ht="16.5" thickTop="1" thickBot="1" x14ac:dyDescent="0.3">
      <c r="A3" s="11" t="s">
        <v>37</v>
      </c>
      <c r="B3" s="11" t="s">
        <v>42</v>
      </c>
      <c r="C3" s="11" t="str">
        <f t="shared" ref="C3:C6" si="0">LEFT(A3,2)</f>
        <v>15</v>
      </c>
      <c r="D3" s="11" t="str">
        <f t="shared" ref="D3:D6" si="1">RIGHT(A3,2)</f>
        <v>US</v>
      </c>
      <c r="E3" s="11" t="str">
        <f t="shared" ref="E3:E6" si="2">MID(A3,4,4)</f>
        <v>2024</v>
      </c>
    </row>
    <row r="4" spans="1:5" ht="16.5" thickTop="1" thickBot="1" x14ac:dyDescent="0.3">
      <c r="A4" s="11" t="s">
        <v>38</v>
      </c>
      <c r="B4" s="11" t="s">
        <v>43</v>
      </c>
      <c r="C4" s="11" t="str">
        <f t="shared" si="0"/>
        <v>29</v>
      </c>
      <c r="D4" s="11" t="str">
        <f t="shared" si="1"/>
        <v>CN</v>
      </c>
      <c r="E4" s="11" t="str">
        <f t="shared" si="2"/>
        <v>2020</v>
      </c>
    </row>
    <row r="5" spans="1:5" ht="16.5" thickTop="1" thickBot="1" x14ac:dyDescent="0.3">
      <c r="A5" s="11" t="s">
        <v>39</v>
      </c>
      <c r="B5" s="11" t="s">
        <v>44</v>
      </c>
      <c r="C5" s="11" t="str">
        <f t="shared" si="0"/>
        <v>19</v>
      </c>
      <c r="D5" s="11" t="str">
        <f t="shared" si="1"/>
        <v>AU</v>
      </c>
      <c r="E5" s="11" t="str">
        <f t="shared" si="2"/>
        <v>2018</v>
      </c>
    </row>
    <row r="6" spans="1:5" ht="16.5" thickTop="1" thickBot="1" x14ac:dyDescent="0.3">
      <c r="A6" s="11" t="s">
        <v>40</v>
      </c>
      <c r="B6" s="11" t="s">
        <v>45</v>
      </c>
      <c r="C6" s="11" t="str">
        <f t="shared" si="0"/>
        <v>22</v>
      </c>
      <c r="D6" s="11" t="str">
        <f t="shared" si="1"/>
        <v>UK</v>
      </c>
      <c r="E6" s="11" t="str">
        <f t="shared" si="2"/>
        <v>2021</v>
      </c>
    </row>
    <row r="7" spans="1:5" ht="15.75" thickTop="1" x14ac:dyDescent="0.25">
      <c r="C7" s="1"/>
    </row>
    <row r="8" spans="1:5" x14ac:dyDescent="0.25">
      <c r="C8" s="2" t="s">
        <v>47</v>
      </c>
      <c r="D8" s="2" t="s">
        <v>48</v>
      </c>
      <c r="E8" s="1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M8" sqref="M8"/>
    </sheetView>
  </sheetViews>
  <sheetFormatPr defaultRowHeight="15" x14ac:dyDescent="0.25"/>
  <cols>
    <col min="1" max="1" width="14.5703125" customWidth="1"/>
    <col min="2" max="2" width="15.42578125" customWidth="1"/>
    <col min="3" max="3" width="17.7109375" customWidth="1"/>
    <col min="5" max="5" width="15.7109375" customWidth="1"/>
    <col min="6" max="6" width="13" customWidth="1"/>
    <col min="7" max="7" width="12.7109375" customWidth="1"/>
    <col min="9" max="9" width="15.140625" customWidth="1"/>
    <col min="10" max="10" width="17" customWidth="1"/>
    <col min="11" max="11" width="14.5703125" customWidth="1"/>
  </cols>
  <sheetData>
    <row r="1" spans="1:11" ht="16.5" thickTop="1" thickBot="1" x14ac:dyDescent="0.3">
      <c r="A1" s="25" t="s">
        <v>51</v>
      </c>
      <c r="B1" s="25" t="s">
        <v>52</v>
      </c>
      <c r="C1" s="25" t="s">
        <v>53</v>
      </c>
      <c r="E1" s="25" t="s">
        <v>51</v>
      </c>
      <c r="F1" s="25" t="s">
        <v>52</v>
      </c>
      <c r="G1" s="25" t="s">
        <v>65</v>
      </c>
      <c r="I1" s="25" t="s">
        <v>51</v>
      </c>
      <c r="J1" s="25" t="s">
        <v>52</v>
      </c>
      <c r="K1" s="25" t="s">
        <v>66</v>
      </c>
    </row>
    <row r="2" spans="1:11" ht="16.5" thickTop="1" thickBot="1" x14ac:dyDescent="0.3">
      <c r="A2" s="11" t="s">
        <v>54</v>
      </c>
      <c r="B2" s="11" t="s">
        <v>59</v>
      </c>
      <c r="C2" s="11" t="s">
        <v>64</v>
      </c>
      <c r="E2" s="11" t="s">
        <v>54</v>
      </c>
      <c r="F2" s="11" t="s">
        <v>59</v>
      </c>
      <c r="G2" s="11" t="str">
        <f>LOWER(F2)</f>
        <v>sachu</v>
      </c>
      <c r="I2" s="11" t="s">
        <v>69</v>
      </c>
      <c r="J2" s="11" t="s">
        <v>59</v>
      </c>
      <c r="K2" s="11" t="str">
        <f>PROPER(I2)</f>
        <v>Sachin</v>
      </c>
    </row>
    <row r="3" spans="1:11" ht="16.5" thickTop="1" thickBot="1" x14ac:dyDescent="0.3">
      <c r="A3" s="11" t="s">
        <v>55</v>
      </c>
      <c r="B3" s="11" t="s">
        <v>60</v>
      </c>
      <c r="C3" s="11" t="str">
        <f t="shared" ref="C3:C6" si="0">UPPER(A3)</f>
        <v>RANJITH</v>
      </c>
      <c r="E3" s="11" t="s">
        <v>55</v>
      </c>
      <c r="F3" s="11" t="s">
        <v>60</v>
      </c>
      <c r="G3" s="11" t="str">
        <f t="shared" ref="G3:G6" si="1">LOWER(F3)</f>
        <v>mst</v>
      </c>
      <c r="I3" s="11" t="s">
        <v>70</v>
      </c>
      <c r="J3" s="11" t="s">
        <v>60</v>
      </c>
      <c r="K3" s="11" t="str">
        <f t="shared" ref="K3:K6" si="2">PROPER(I3)</f>
        <v>Ranjith</v>
      </c>
    </row>
    <row r="4" spans="1:11" ht="16.5" thickTop="1" thickBot="1" x14ac:dyDescent="0.3">
      <c r="A4" s="11" t="s">
        <v>61</v>
      </c>
      <c r="B4" s="11" t="s">
        <v>56</v>
      </c>
      <c r="C4" s="11" t="str">
        <f t="shared" si="0"/>
        <v>ARULKUMARAN</v>
      </c>
      <c r="E4" s="11" t="s">
        <v>61</v>
      </c>
      <c r="F4" s="11" t="s">
        <v>56</v>
      </c>
      <c r="G4" s="11" t="str">
        <f t="shared" si="1"/>
        <v>arul</v>
      </c>
      <c r="I4" s="11" t="s">
        <v>73</v>
      </c>
      <c r="J4" s="11" t="s">
        <v>56</v>
      </c>
      <c r="K4" s="11" t="str">
        <f t="shared" si="2"/>
        <v>Arul Kumaran</v>
      </c>
    </row>
    <row r="5" spans="1:11" ht="16.5" thickTop="1" thickBot="1" x14ac:dyDescent="0.3">
      <c r="A5" s="11" t="s">
        <v>57</v>
      </c>
      <c r="B5" s="11" t="s">
        <v>62</v>
      </c>
      <c r="C5" s="11" t="str">
        <f t="shared" si="0"/>
        <v>NISHANTH</v>
      </c>
      <c r="E5" s="11" t="s">
        <v>57</v>
      </c>
      <c r="F5" s="11" t="s">
        <v>62</v>
      </c>
      <c r="G5" s="11" t="str">
        <f t="shared" si="1"/>
        <v>nisha</v>
      </c>
      <c r="I5" s="11" t="s">
        <v>71</v>
      </c>
      <c r="J5" s="11" t="s">
        <v>62</v>
      </c>
      <c r="K5" s="11" t="str">
        <f t="shared" si="2"/>
        <v>Nishanth</v>
      </c>
    </row>
    <row r="6" spans="1:11" ht="16.5" thickTop="1" thickBot="1" x14ac:dyDescent="0.3">
      <c r="A6" s="11" t="s">
        <v>58</v>
      </c>
      <c r="B6" s="11" t="s">
        <v>63</v>
      </c>
      <c r="C6" s="11" t="str">
        <f t="shared" si="0"/>
        <v>SAKTHI SRI</v>
      </c>
      <c r="E6" s="11" t="s">
        <v>58</v>
      </c>
      <c r="F6" s="11" t="s">
        <v>63</v>
      </c>
      <c r="G6" s="11" t="str">
        <f t="shared" si="1"/>
        <v>sakthi</v>
      </c>
      <c r="I6" s="11" t="s">
        <v>72</v>
      </c>
      <c r="J6" s="11" t="s">
        <v>63</v>
      </c>
      <c r="K6" s="11" t="str">
        <f t="shared" si="2"/>
        <v>Sakthi Sri</v>
      </c>
    </row>
    <row r="7" spans="1:11" ht="15.75" thickTop="1" x14ac:dyDescent="0.25"/>
    <row r="8" spans="1:11" ht="15.75" thickBot="1" x14ac:dyDescent="0.3"/>
    <row r="9" spans="1:11" ht="16.5" thickTop="1" thickBot="1" x14ac:dyDescent="0.3">
      <c r="B9" s="10" t="s">
        <v>53</v>
      </c>
      <c r="F9" s="10" t="s">
        <v>67</v>
      </c>
      <c r="J9" s="10" t="s">
        <v>68</v>
      </c>
    </row>
    <row r="10" spans="1:11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</vt:lpstr>
      <vt:lpstr>MIN &amp; MAX</vt:lpstr>
      <vt:lpstr>COUNT</vt:lpstr>
      <vt:lpstr>COUNTA FUNCTION</vt:lpstr>
      <vt:lpstr>AVERAGE</vt:lpstr>
      <vt:lpstr> </vt:lpstr>
      <vt:lpstr>MULTIPLE</vt:lpstr>
      <vt:lpstr>IF FUNTION</vt:lpstr>
      <vt:lpstr>NESTING IF</vt:lpstr>
      <vt:lpstr>SUM IF,AVERAFE IF,COUNT IF</vt:lpstr>
      <vt:lpstr>LEFT,RIGHT,MID </vt:lpstr>
      <vt:lpstr>UPPER,LOWER,PROPER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2026-03-26T14:09:28Z</dcterms:created>
  <dcterms:modified xsi:type="dcterms:W3CDTF">2026-03-27T15:00:05Z</dcterms:modified>
</cp:coreProperties>
</file>